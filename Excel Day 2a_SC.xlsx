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CBEF5B74-8B72-481D-A2E1-41E7B6B1C578}" xr6:coauthVersionLast="47" xr6:coauthVersionMax="47" xr10:uidLastSave="{00000000-0000-0000-0000-000000000000}"/>
  <bookViews>
    <workbookView xWindow="-96" yWindow="0" windowWidth="11712" windowHeight="12336" firstSheet="6" activeTab="7" xr2:uid="{C89745E2-0F00-4EAE-9EED-A88EDCAC4F18}"/>
  </bookViews>
  <sheets>
    <sheet name="OneCategoricalVariable" sheetId="2" r:id="rId1"/>
    <sheet name="iris_Example" sheetId="3" r:id="rId2"/>
    <sheet name="Sheet1" sheetId="10" r:id="rId3"/>
    <sheet name="friends" sheetId="4" r:id="rId4"/>
    <sheet name="friends_Exercise" sheetId="5" r:id="rId5"/>
    <sheet name="OneNumericalVariable" sheetId="6" r:id="rId6"/>
    <sheet name="random_data" sheetId="7" r:id="rId7"/>
    <sheet name="no_siblings" sheetId="8" r:id="rId8"/>
    <sheet name="iris_centralmeasure" sheetId="9" r:id="rId9"/>
  </sheets>
  <definedNames>
    <definedName name="_xlnm._FilterDatabase" localSheetId="3" hidden="1">friends!$A$1:$A$1201</definedName>
    <definedName name="_xlnm._FilterDatabase" localSheetId="0" hidden="1">OneCategoricalVariable!$A:$A</definedName>
    <definedName name="_xlchart.v1.0" hidden="1">no_siblings!$A$1</definedName>
    <definedName name="_xlchart.v1.1" hidden="1">no_siblings!$A$2:$A$25</definedName>
    <definedName name="_xlchart.v1.10" hidden="1">iris_centralmeasure!$A$1</definedName>
    <definedName name="_xlchart.v1.11" hidden="1">iris_centralmeasure!$A$2:$A$151</definedName>
    <definedName name="_xlchart.v1.12" hidden="1">iris_centralmeasure!$B$1</definedName>
    <definedName name="_xlchart.v1.13" hidden="1">iris_centralmeasure!$B$2:$B$151</definedName>
    <definedName name="_xlchart.v1.14" hidden="1">iris_centralmeasure!$C$1</definedName>
    <definedName name="_xlchart.v1.15" hidden="1">iris_centralmeasure!$C$2:$C$151</definedName>
    <definedName name="_xlchart.v1.16" hidden="1">iris_centralmeasure!$D$1</definedName>
    <definedName name="_xlchart.v1.17" hidden="1">iris_centralmeasure!$D$2:$D$151</definedName>
    <definedName name="_xlchart.v1.18" hidden="1">iris_centralmeasure!$A$1</definedName>
    <definedName name="_xlchart.v1.19" hidden="1">iris_centralmeasure!$A$2:$A$151</definedName>
    <definedName name="_xlchart.v1.2" hidden="1">no_siblings!$A$1</definedName>
    <definedName name="_xlchart.v1.20" hidden="1">iris_centralmeasure!$B$1</definedName>
    <definedName name="_xlchart.v1.21" hidden="1">iris_centralmeasure!$B$2:$B$151</definedName>
    <definedName name="_xlchart.v1.22" hidden="1">iris_centralmeasure!$C$1</definedName>
    <definedName name="_xlchart.v1.23" hidden="1">iris_centralmeasure!$C$2:$C$151</definedName>
    <definedName name="_xlchart.v1.24" hidden="1">iris_centralmeasure!$D$1</definedName>
    <definedName name="_xlchart.v1.25" hidden="1">iris_centralmeasure!$D$2:$D$151</definedName>
    <definedName name="_xlchart.v1.26" hidden="1">iris_centralmeasure!$D$1</definedName>
    <definedName name="_xlchart.v1.27" hidden="1">iris_centralmeasure!$D$2:$D$151</definedName>
    <definedName name="_xlchart.v1.28" hidden="1">iris_centralmeasure!$B$1</definedName>
    <definedName name="_xlchart.v1.29" hidden="1">iris_centralmeasure!$B$2:$B$151</definedName>
    <definedName name="_xlchart.v1.3" hidden="1">no_siblings!$A$2:$A$25</definedName>
    <definedName name="_xlchart.v1.30" hidden="1">iris_centralmeasure!$A$1</definedName>
    <definedName name="_xlchart.v1.31" hidden="1">iris_centralmeasure!$A$2:$A$151</definedName>
    <definedName name="_xlchart.v1.32" hidden="1">iris_centralmeasure!$A$1</definedName>
    <definedName name="_xlchart.v1.33" hidden="1">iris_centralmeasure!$A$2:$A$151</definedName>
    <definedName name="_xlchart.v1.34" hidden="1">iris_centralmeasure!$B$1</definedName>
    <definedName name="_xlchart.v1.35" hidden="1">iris_centralmeasure!$B$2:$B$151</definedName>
    <definedName name="_xlchart.v1.4" hidden="1">iris_centralmeasure!$C$1</definedName>
    <definedName name="_xlchart.v1.5" hidden="1">iris_centralmeasure!$C$2:$C$151</definedName>
    <definedName name="_xlchart.v1.6" hidden="1">iris_centralmeasure!$C$1</definedName>
    <definedName name="_xlchart.v1.7" hidden="1">iris_centralmeasure!$C$2:$C$151</definedName>
    <definedName name="_xlchart.v1.8" hidden="1">iris_centralmeasure!$D$1</definedName>
    <definedName name="_xlchart.v1.9" hidden="1">iris_centralmeasure!$D$2:$D$151</definedName>
    <definedName name="_xlnm.Extract" localSheetId="3">friends_Exercise!$B$5</definedName>
    <definedName name="_xlnm.Extract" localSheetId="0">#REF!</definedName>
  </definedNames>
  <calcPr calcId="191029"/>
  <pivotCaches>
    <pivotCache cacheId="8" r:id="rId10"/>
    <pivotCache cacheId="1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9" l="1"/>
  <c r="J20" i="9"/>
  <c r="K20" i="9"/>
  <c r="H20" i="9"/>
  <c r="I19" i="9"/>
  <c r="J19" i="9"/>
  <c r="K19" i="9"/>
  <c r="H19" i="9"/>
  <c r="K17" i="9"/>
  <c r="I16" i="9"/>
  <c r="J16" i="9"/>
  <c r="K16" i="9"/>
  <c r="K24" i="9" s="1"/>
  <c r="I15" i="9"/>
  <c r="J15" i="9"/>
  <c r="K15" i="9"/>
  <c r="K23" i="9" s="1"/>
  <c r="H16" i="9"/>
  <c r="H15" i="9"/>
  <c r="I13" i="9"/>
  <c r="J13" i="9"/>
  <c r="K13" i="9"/>
  <c r="H13" i="9"/>
  <c r="I12" i="9"/>
  <c r="J12" i="9"/>
  <c r="J14" i="9" s="1"/>
  <c r="K12" i="9"/>
  <c r="K14" i="9" s="1"/>
  <c r="H12" i="9"/>
  <c r="H14" i="9" s="1"/>
  <c r="I8" i="9" a="1"/>
  <c r="I8" i="9" s="1"/>
  <c r="J8" i="9" a="1"/>
  <c r="J8" i="9" s="1"/>
  <c r="K8" i="9" a="1"/>
  <c r="K9" i="9" s="1"/>
  <c r="H8" i="9" a="1"/>
  <c r="H8" i="9" s="1"/>
  <c r="I7" i="9"/>
  <c r="J7" i="9"/>
  <c r="K7" i="9"/>
  <c r="H7" i="9"/>
  <c r="I6" i="9"/>
  <c r="J6" i="9"/>
  <c r="K6" i="9"/>
  <c r="H6" i="9"/>
  <c r="E24" i="8"/>
  <c r="E23" i="8"/>
  <c r="D20" i="8"/>
  <c r="D21" i="8"/>
  <c r="D18" i="8"/>
  <c r="M17" i="8"/>
  <c r="M16" i="8"/>
  <c r="M15" i="8"/>
  <c r="D17" i="8"/>
  <c r="D16" i="8"/>
  <c r="D15" i="8"/>
  <c r="D13" i="8"/>
  <c r="D12" i="8" a="1"/>
  <c r="D12" i="8" s="1"/>
  <c r="D11" i="8" a="1"/>
  <c r="D11" i="8" s="1"/>
  <c r="D7" i="8" a="1"/>
  <c r="D7" i="8" s="1"/>
  <c r="D6" i="8"/>
  <c r="D5" i="8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13" i="6"/>
  <c r="A1" i="6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1" i="7"/>
  <c r="H17" i="9" l="1"/>
  <c r="H24" i="9" s="1"/>
  <c r="J17" i="9"/>
  <c r="J24" i="9" s="1"/>
  <c r="J23" i="9"/>
  <c r="J9" i="9"/>
  <c r="I14" i="9"/>
  <c r="I17" i="9"/>
  <c r="I24" i="9" s="1"/>
  <c r="K8" i="9"/>
  <c r="I9" i="9"/>
  <c r="H9" i="9"/>
  <c r="D8" i="8"/>
  <c r="D24" i="7"/>
  <c r="D23" i="7"/>
  <c r="D15" i="7"/>
  <c r="D16" i="7"/>
  <c r="D14" i="7"/>
  <c r="D6" i="7" a="1"/>
  <c r="D6" i="7" s="1"/>
  <c r="D10" i="7"/>
  <c r="D11" i="7"/>
  <c r="D4" i="7"/>
  <c r="D5" i="7"/>
  <c r="X7" i="6"/>
  <c r="S7" i="6"/>
  <c r="M7" i="6"/>
  <c r="H23" i="9" l="1"/>
  <c r="I23" i="9"/>
  <c r="D18" i="7"/>
  <c r="D21" i="7" s="1"/>
  <c r="D12" i="7"/>
  <c r="D7" i="7"/>
  <c r="W151" i="9"/>
  <c r="W149" i="9"/>
  <c r="W147" i="9"/>
  <c r="W145" i="9"/>
  <c r="W143" i="9"/>
  <c r="W141" i="9"/>
  <c r="W139" i="9"/>
  <c r="W137" i="9"/>
  <c r="W135" i="9"/>
  <c r="W133" i="9"/>
  <c r="W131" i="9"/>
  <c r="W129" i="9"/>
  <c r="W127" i="9"/>
  <c r="W125" i="9"/>
  <c r="W123" i="9"/>
  <c r="W121" i="9"/>
  <c r="W119" i="9"/>
  <c r="W117" i="9"/>
  <c r="W115" i="9"/>
  <c r="W113" i="9"/>
  <c r="W111" i="9"/>
  <c r="W109" i="9"/>
  <c r="W107" i="9"/>
  <c r="W105" i="9"/>
  <c r="W103" i="9"/>
  <c r="W101" i="9"/>
  <c r="W99" i="9"/>
  <c r="W97" i="9"/>
  <c r="W95" i="9"/>
  <c r="W93" i="9"/>
  <c r="W91" i="9"/>
  <c r="W89" i="9"/>
  <c r="W87" i="9"/>
  <c r="W85" i="9"/>
  <c r="W83" i="9"/>
  <c r="W81" i="9"/>
  <c r="W79" i="9"/>
  <c r="W77" i="9"/>
  <c r="W75" i="9"/>
  <c r="W73" i="9"/>
  <c r="W71" i="9"/>
  <c r="W69" i="9"/>
  <c r="W67" i="9"/>
  <c r="W65" i="9"/>
  <c r="W63" i="9"/>
  <c r="W61" i="9"/>
  <c r="W59" i="9"/>
  <c r="W57" i="9"/>
  <c r="W55" i="9"/>
  <c r="W53" i="9"/>
  <c r="W51" i="9"/>
  <c r="W49" i="9"/>
  <c r="W47" i="9"/>
  <c r="W45" i="9"/>
  <c r="W43" i="9"/>
  <c r="W41" i="9"/>
  <c r="W39" i="9"/>
  <c r="W37" i="9"/>
  <c r="W35" i="9"/>
  <c r="W33" i="9"/>
  <c r="W31" i="9"/>
  <c r="W29" i="9"/>
  <c r="W27" i="9"/>
  <c r="W26" i="9"/>
  <c r="W25" i="9"/>
  <c r="W24" i="9"/>
  <c r="W23" i="9"/>
  <c r="W22" i="9"/>
  <c r="W20" i="9"/>
  <c r="W19" i="9"/>
  <c r="W18" i="9"/>
  <c r="W10" i="9"/>
  <c r="W8" i="9"/>
  <c r="W7" i="9"/>
  <c r="W6" i="9"/>
  <c r="W5" i="9"/>
  <c r="W3" i="9"/>
  <c r="W150" i="9"/>
  <c r="W134" i="9"/>
  <c r="W118" i="9"/>
  <c r="W102" i="9"/>
  <c r="W86" i="9"/>
  <c r="W70" i="9"/>
  <c r="W54" i="9"/>
  <c r="W38" i="9"/>
  <c r="W13" i="9"/>
  <c r="W4" i="9"/>
  <c r="W104" i="9"/>
  <c r="W88" i="9"/>
  <c r="W56" i="9"/>
  <c r="W14" i="9"/>
  <c r="W148" i="9"/>
  <c r="W132" i="9"/>
  <c r="W116" i="9"/>
  <c r="W100" i="9"/>
  <c r="W84" i="9"/>
  <c r="W68" i="9"/>
  <c r="W52" i="9"/>
  <c r="W36" i="9"/>
  <c r="W136" i="9"/>
  <c r="W72" i="9"/>
  <c r="W40" i="9"/>
  <c r="W146" i="9"/>
  <c r="W130" i="9"/>
  <c r="W114" i="9"/>
  <c r="W98" i="9"/>
  <c r="W82" i="9"/>
  <c r="W66" i="9"/>
  <c r="W50" i="9"/>
  <c r="W34" i="9"/>
  <c r="W15" i="9"/>
  <c r="W11" i="9"/>
  <c r="W120" i="9"/>
  <c r="W144" i="9"/>
  <c r="W128" i="9"/>
  <c r="W112" i="9"/>
  <c r="W96" i="9"/>
  <c r="W80" i="9"/>
  <c r="W64" i="9"/>
  <c r="W48" i="9"/>
  <c r="W32" i="9"/>
  <c r="W21" i="9"/>
  <c r="W9" i="9"/>
  <c r="W138" i="9"/>
  <c r="W122" i="9"/>
  <c r="W106" i="9"/>
  <c r="W90" i="9"/>
  <c r="W74" i="9"/>
  <c r="W58" i="9"/>
  <c r="W42" i="9"/>
  <c r="W142" i="9"/>
  <c r="W126" i="9"/>
  <c r="W110" i="9"/>
  <c r="W94" i="9"/>
  <c r="W78" i="9"/>
  <c r="W62" i="9"/>
  <c r="W46" i="9"/>
  <c r="W30" i="9"/>
  <c r="W17" i="9"/>
  <c r="W140" i="9"/>
  <c r="W124" i="9"/>
  <c r="W108" i="9"/>
  <c r="W92" i="9"/>
  <c r="W76" i="9"/>
  <c r="W60" i="9"/>
  <c r="W44" i="9"/>
  <c r="W28" i="9"/>
  <c r="W16" i="9"/>
  <c r="W12" i="9"/>
  <c r="W2" i="9"/>
  <c r="Z151" i="9"/>
  <c r="Z149" i="9"/>
  <c r="Z147" i="9"/>
  <c r="Z145" i="9"/>
  <c r="Z143" i="9"/>
  <c r="Z141" i="9"/>
  <c r="Z139" i="9"/>
  <c r="Z137" i="9"/>
  <c r="Z135" i="9"/>
  <c r="Z133" i="9"/>
  <c r="Z131" i="9"/>
  <c r="Z129" i="9"/>
  <c r="Z127" i="9"/>
  <c r="Z125" i="9"/>
  <c r="Z123" i="9"/>
  <c r="Z121" i="9"/>
  <c r="Z119" i="9"/>
  <c r="Z117" i="9"/>
  <c r="Z115" i="9"/>
  <c r="Z113" i="9"/>
  <c r="Z111" i="9"/>
  <c r="Z109" i="9"/>
  <c r="Z107" i="9"/>
  <c r="Z105" i="9"/>
  <c r="Z103" i="9"/>
  <c r="Z101" i="9"/>
  <c r="Z99" i="9"/>
  <c r="Z97" i="9"/>
  <c r="Z95" i="9"/>
  <c r="Z93" i="9"/>
  <c r="Z91" i="9"/>
  <c r="Z89" i="9"/>
  <c r="Z87" i="9"/>
  <c r="Z85" i="9"/>
  <c r="Z83" i="9"/>
  <c r="Z81" i="9"/>
  <c r="Z79" i="9"/>
  <c r="Z77" i="9"/>
  <c r="Z75" i="9"/>
  <c r="Z73" i="9"/>
  <c r="Z71" i="9"/>
  <c r="Z69" i="9"/>
  <c r="Z67" i="9"/>
  <c r="Z65" i="9"/>
  <c r="Z63" i="9"/>
  <c r="Z61" i="9"/>
  <c r="Z59" i="9"/>
  <c r="Z57" i="9"/>
  <c r="Z55" i="9"/>
  <c r="Z53" i="9"/>
  <c r="Z51" i="9"/>
  <c r="Z49" i="9"/>
  <c r="Z47" i="9"/>
  <c r="Z45" i="9"/>
  <c r="Z43" i="9"/>
  <c r="Z41" i="9"/>
  <c r="Z39" i="9"/>
  <c r="Z37" i="9"/>
  <c r="Z35" i="9"/>
  <c r="Z33" i="9"/>
  <c r="Z31" i="9"/>
  <c r="Z29" i="9"/>
  <c r="Z27" i="9"/>
  <c r="Z26" i="9"/>
  <c r="Z25" i="9"/>
  <c r="Z24" i="9"/>
  <c r="Z23" i="9"/>
  <c r="Z22" i="9"/>
  <c r="Z20" i="9"/>
  <c r="Z19" i="9"/>
  <c r="Z18" i="9"/>
  <c r="Z10" i="9"/>
  <c r="Z8" i="9"/>
  <c r="Z7" i="9"/>
  <c r="Z6" i="9"/>
  <c r="Z5" i="9"/>
  <c r="Z3" i="9"/>
  <c r="Z150" i="9"/>
  <c r="Z148" i="9"/>
  <c r="Z146" i="9"/>
  <c r="Z144" i="9"/>
  <c r="Z142" i="9"/>
  <c r="Z140" i="9"/>
  <c r="Z138" i="9"/>
  <c r="Z136" i="9"/>
  <c r="Z134" i="9"/>
  <c r="Z132" i="9"/>
  <c r="Z130" i="9"/>
  <c r="Z128" i="9"/>
  <c r="Z126" i="9"/>
  <c r="Z124" i="9"/>
  <c r="Z122" i="9"/>
  <c r="Z120" i="9"/>
  <c r="Z118" i="9"/>
  <c r="Z116" i="9"/>
  <c r="Z114" i="9"/>
  <c r="Z112" i="9"/>
  <c r="Z110" i="9"/>
  <c r="Z108" i="9"/>
  <c r="Z106" i="9"/>
  <c r="Z104" i="9"/>
  <c r="Z102" i="9"/>
  <c r="Z100" i="9"/>
  <c r="Z98" i="9"/>
  <c r="Z96" i="9"/>
  <c r="Z94" i="9"/>
  <c r="Z92" i="9"/>
  <c r="Z90" i="9"/>
  <c r="Z88" i="9"/>
  <c r="Z86" i="9"/>
  <c r="Z84" i="9"/>
  <c r="Z82" i="9"/>
  <c r="Z80" i="9"/>
  <c r="Z78" i="9"/>
  <c r="Z76" i="9"/>
  <c r="Z74" i="9"/>
  <c r="Z72" i="9"/>
  <c r="Z70" i="9"/>
  <c r="Z68" i="9"/>
  <c r="Z66" i="9"/>
  <c r="Z64" i="9"/>
  <c r="Z62" i="9"/>
  <c r="Z60" i="9"/>
  <c r="Z58" i="9"/>
  <c r="Z56" i="9"/>
  <c r="Z54" i="9"/>
  <c r="Z52" i="9"/>
  <c r="Z50" i="9"/>
  <c r="Z48" i="9"/>
  <c r="Z46" i="9"/>
  <c r="Z44" i="9"/>
  <c r="Z42" i="9"/>
  <c r="Z40" i="9"/>
  <c r="Z38" i="9"/>
  <c r="Z36" i="9"/>
  <c r="Z34" i="9"/>
  <c r="Z32" i="9"/>
  <c r="Z30" i="9"/>
  <c r="Z28" i="9"/>
  <c r="Z21" i="9"/>
  <c r="Z17" i="9"/>
  <c r="Z16" i="9"/>
  <c r="Z15" i="9"/>
  <c r="Z14" i="9"/>
  <c r="Z13" i="9"/>
  <c r="Z12" i="9"/>
  <c r="Z11" i="9"/>
  <c r="Z9" i="9"/>
  <c r="Z2" i="9"/>
  <c r="Z4" i="9"/>
  <c r="Y151" i="9"/>
  <c r="Y149" i="9"/>
  <c r="Y147" i="9"/>
  <c r="Y145" i="9"/>
  <c r="Y143" i="9"/>
  <c r="Y141" i="9"/>
  <c r="Y139" i="9"/>
  <c r="Y137" i="9"/>
  <c r="Y135" i="9"/>
  <c r="Y133" i="9"/>
  <c r="Y131" i="9"/>
  <c r="Y129" i="9"/>
  <c r="Y127" i="9"/>
  <c r="Y125" i="9"/>
  <c r="Y123" i="9"/>
  <c r="Y121" i="9"/>
  <c r="Y119" i="9"/>
  <c r="Y117" i="9"/>
  <c r="Y115" i="9"/>
  <c r="Y113" i="9"/>
  <c r="Y111" i="9"/>
  <c r="Y109" i="9"/>
  <c r="Y107" i="9"/>
  <c r="Y105" i="9"/>
  <c r="Y103" i="9"/>
  <c r="Y101" i="9"/>
  <c r="Y99" i="9"/>
  <c r="Y97" i="9"/>
  <c r="Y95" i="9"/>
  <c r="Y93" i="9"/>
  <c r="Y91" i="9"/>
  <c r="Y89" i="9"/>
  <c r="Y87" i="9"/>
  <c r="Y85" i="9"/>
  <c r="Y83" i="9"/>
  <c r="Y81" i="9"/>
  <c r="Y79" i="9"/>
  <c r="Y77" i="9"/>
  <c r="Y75" i="9"/>
  <c r="Y73" i="9"/>
  <c r="Y71" i="9"/>
  <c r="Y69" i="9"/>
  <c r="Y67" i="9"/>
  <c r="Y65" i="9"/>
  <c r="Y63" i="9"/>
  <c r="Y61" i="9"/>
  <c r="Y59" i="9"/>
  <c r="Y57" i="9"/>
  <c r="Y55" i="9"/>
  <c r="Y53" i="9"/>
  <c r="Y51" i="9"/>
  <c r="Y49" i="9"/>
  <c r="Y47" i="9"/>
  <c r="Y45" i="9"/>
  <c r="Y43" i="9"/>
  <c r="Y41" i="9"/>
  <c r="Y39" i="9"/>
  <c r="Y37" i="9"/>
  <c r="Y35" i="9"/>
  <c r="Y33" i="9"/>
  <c r="Y31" i="9"/>
  <c r="Y29" i="9"/>
  <c r="Y27" i="9"/>
  <c r="Y26" i="9"/>
  <c r="Y25" i="9"/>
  <c r="Y24" i="9"/>
  <c r="Y23" i="9"/>
  <c r="Y22" i="9"/>
  <c r="Y20" i="9"/>
  <c r="Y19" i="9"/>
  <c r="Y18" i="9"/>
  <c r="Y10" i="9"/>
  <c r="Y8" i="9"/>
  <c r="Y150" i="9"/>
  <c r="Y148" i="9"/>
  <c r="Y146" i="9"/>
  <c r="Y144" i="9"/>
  <c r="Y142" i="9"/>
  <c r="Y140" i="9"/>
  <c r="Y138" i="9"/>
  <c r="Y136" i="9"/>
  <c r="Y134" i="9"/>
  <c r="Y132" i="9"/>
  <c r="Y130" i="9"/>
  <c r="Y128" i="9"/>
  <c r="Y126" i="9"/>
  <c r="Y124" i="9"/>
  <c r="Y122" i="9"/>
  <c r="Y120" i="9"/>
  <c r="Y118" i="9"/>
  <c r="Y116" i="9"/>
  <c r="Y114" i="9"/>
  <c r="Y112" i="9"/>
  <c r="Y110" i="9"/>
  <c r="Y108" i="9"/>
  <c r="Y106" i="9"/>
  <c r="Y104" i="9"/>
  <c r="Y102" i="9"/>
  <c r="Y100" i="9"/>
  <c r="Y98" i="9"/>
  <c r="Y96" i="9"/>
  <c r="Y94" i="9"/>
  <c r="Y92" i="9"/>
  <c r="Y90" i="9"/>
  <c r="Y88" i="9"/>
  <c r="Y86" i="9"/>
  <c r="Y84" i="9"/>
  <c r="Y82" i="9"/>
  <c r="Y80" i="9"/>
  <c r="Y78" i="9"/>
  <c r="Y76" i="9"/>
  <c r="Y74" i="9"/>
  <c r="Y72" i="9"/>
  <c r="Y70" i="9"/>
  <c r="Y68" i="9"/>
  <c r="Y66" i="9"/>
  <c r="Y64" i="9"/>
  <c r="Y62" i="9"/>
  <c r="Y60" i="9"/>
  <c r="Y58" i="9"/>
  <c r="Y56" i="9"/>
  <c r="Y54" i="9"/>
  <c r="Y52" i="9"/>
  <c r="Y50" i="9"/>
  <c r="Y48" i="9"/>
  <c r="Y46" i="9"/>
  <c r="Y44" i="9"/>
  <c r="Y42" i="9"/>
  <c r="Y40" i="9"/>
  <c r="Y38" i="9"/>
  <c r="Y36" i="9"/>
  <c r="Y34" i="9"/>
  <c r="Y32" i="9"/>
  <c r="Y30" i="9"/>
  <c r="Y28" i="9"/>
  <c r="Y21" i="9"/>
  <c r="Y17" i="9"/>
  <c r="Y16" i="9"/>
  <c r="Y15" i="9"/>
  <c r="Y14" i="9"/>
  <c r="Y13" i="9"/>
  <c r="Y12" i="9"/>
  <c r="Y11" i="9"/>
  <c r="Y9" i="9"/>
  <c r="Y6" i="9"/>
  <c r="Y3" i="9"/>
  <c r="Y7" i="9"/>
  <c r="Y2" i="9"/>
  <c r="Y4" i="9"/>
  <c r="Y5" i="9"/>
  <c r="X151" i="9"/>
  <c r="X149" i="9"/>
  <c r="X147" i="9"/>
  <c r="X145" i="9"/>
  <c r="X143" i="9"/>
  <c r="X141" i="9"/>
  <c r="X139" i="9"/>
  <c r="X137" i="9"/>
  <c r="X135" i="9"/>
  <c r="X133" i="9"/>
  <c r="X131" i="9"/>
  <c r="X129" i="9"/>
  <c r="X127" i="9"/>
  <c r="X125" i="9"/>
  <c r="X123" i="9"/>
  <c r="X121" i="9"/>
  <c r="X119" i="9"/>
  <c r="X117" i="9"/>
  <c r="X115" i="9"/>
  <c r="X113" i="9"/>
  <c r="X111" i="9"/>
  <c r="X109" i="9"/>
  <c r="X107" i="9"/>
  <c r="X105" i="9"/>
  <c r="X103" i="9"/>
  <c r="X101" i="9"/>
  <c r="X99" i="9"/>
  <c r="X97" i="9"/>
  <c r="X95" i="9"/>
  <c r="X93" i="9"/>
  <c r="X91" i="9"/>
  <c r="X89" i="9"/>
  <c r="X87" i="9"/>
  <c r="X85" i="9"/>
  <c r="X83" i="9"/>
  <c r="X81" i="9"/>
  <c r="X79" i="9"/>
  <c r="X77" i="9"/>
  <c r="X75" i="9"/>
  <c r="X73" i="9"/>
  <c r="X71" i="9"/>
  <c r="X69" i="9"/>
  <c r="X67" i="9"/>
  <c r="X65" i="9"/>
  <c r="X63" i="9"/>
  <c r="X61" i="9"/>
  <c r="X59" i="9"/>
  <c r="X57" i="9"/>
  <c r="X55" i="9"/>
  <c r="X53" i="9"/>
  <c r="X51" i="9"/>
  <c r="X49" i="9"/>
  <c r="X47" i="9"/>
  <c r="X45" i="9"/>
  <c r="X43" i="9"/>
  <c r="X41" i="9"/>
  <c r="X39" i="9"/>
  <c r="X37" i="9"/>
  <c r="X35" i="9"/>
  <c r="X33" i="9"/>
  <c r="X31" i="9"/>
  <c r="X29" i="9"/>
  <c r="X27" i="9"/>
  <c r="X26" i="9"/>
  <c r="X25" i="9"/>
  <c r="X24" i="9"/>
  <c r="X23" i="9"/>
  <c r="X22" i="9"/>
  <c r="X20" i="9"/>
  <c r="X19" i="9"/>
  <c r="X18" i="9"/>
  <c r="X10" i="9"/>
  <c r="X8" i="9"/>
  <c r="X7" i="9"/>
  <c r="X6" i="9"/>
  <c r="X5" i="9"/>
  <c r="X3" i="9"/>
  <c r="X150" i="9"/>
  <c r="X148" i="9"/>
  <c r="X146" i="9"/>
  <c r="X144" i="9"/>
  <c r="X142" i="9"/>
  <c r="X140" i="9"/>
  <c r="X138" i="9"/>
  <c r="X136" i="9"/>
  <c r="X134" i="9"/>
  <c r="X132" i="9"/>
  <c r="X130" i="9"/>
  <c r="X128" i="9"/>
  <c r="X126" i="9"/>
  <c r="X124" i="9"/>
  <c r="X122" i="9"/>
  <c r="X120" i="9"/>
  <c r="X118" i="9"/>
  <c r="X116" i="9"/>
  <c r="X114" i="9"/>
  <c r="X112" i="9"/>
  <c r="X110" i="9"/>
  <c r="X108" i="9"/>
  <c r="X106" i="9"/>
  <c r="X104" i="9"/>
  <c r="X102" i="9"/>
  <c r="X100" i="9"/>
  <c r="X98" i="9"/>
  <c r="X96" i="9"/>
  <c r="X94" i="9"/>
  <c r="X92" i="9"/>
  <c r="X90" i="9"/>
  <c r="X88" i="9"/>
  <c r="X86" i="9"/>
  <c r="X84" i="9"/>
  <c r="X82" i="9"/>
  <c r="X80" i="9"/>
  <c r="X78" i="9"/>
  <c r="X76" i="9"/>
  <c r="X74" i="9"/>
  <c r="X72" i="9"/>
  <c r="X70" i="9"/>
  <c r="X68" i="9"/>
  <c r="X66" i="9"/>
  <c r="X64" i="9"/>
  <c r="X62" i="9"/>
  <c r="X60" i="9"/>
  <c r="X58" i="9"/>
  <c r="X56" i="9"/>
  <c r="X54" i="9"/>
  <c r="X52" i="9"/>
  <c r="X50" i="9"/>
  <c r="X48" i="9"/>
  <c r="X46" i="9"/>
  <c r="X44" i="9"/>
  <c r="X42" i="9"/>
  <c r="X40" i="9"/>
  <c r="X38" i="9"/>
  <c r="X36" i="9"/>
  <c r="X34" i="9"/>
  <c r="X32" i="9"/>
  <c r="X30" i="9"/>
  <c r="X28" i="9"/>
  <c r="X21" i="9"/>
  <c r="X17" i="9"/>
  <c r="X16" i="9"/>
  <c r="X15" i="9"/>
  <c r="X14" i="9"/>
  <c r="X13" i="9"/>
  <c r="X12" i="9"/>
  <c r="X11" i="9"/>
  <c r="X9" i="9"/>
  <c r="X4" i="9"/>
  <c r="X2" i="9"/>
  <c r="D20" i="7" l="1"/>
</calcChain>
</file>

<file path=xl/sharedStrings.xml><?xml version="1.0" encoding="utf-8"?>
<sst xmlns="http://schemas.openxmlformats.org/spreadsheetml/2006/main" count="1723" uniqueCount="128">
  <si>
    <t>Species</t>
  </si>
  <si>
    <t>Sepal.Length</t>
  </si>
  <si>
    <t>Sepal.Width</t>
  </si>
  <si>
    <t>Petal.Length</t>
  </si>
  <si>
    <t>Petal.Width</t>
  </si>
  <si>
    <t>setosa</t>
  </si>
  <si>
    <t xml:space="preserve">One Categorical Variable </t>
  </si>
  <si>
    <t xml:space="preserve">Using the iris dataset (left), we'll look at </t>
  </si>
  <si>
    <r>
      <t>1.</t>
    </r>
    <r>
      <rPr>
        <sz val="11"/>
        <color rgb="FF404040"/>
        <rFont val="Helvetica Neue"/>
        <family val="2"/>
      </rPr>
      <t>One-way table</t>
    </r>
  </si>
  <si>
    <r>
      <t>2.</t>
    </r>
    <r>
      <rPr>
        <sz val="11"/>
        <color rgb="FF404040"/>
        <rFont val="Helvetica Neue"/>
        <family val="2"/>
      </rPr>
      <t xml:space="preserve">Pie chart </t>
    </r>
  </si>
  <si>
    <r>
      <t>3.</t>
    </r>
    <r>
      <rPr>
        <sz val="11"/>
        <color rgb="FF404040"/>
        <rFont val="Helvetica Neue"/>
        <family val="2"/>
      </rPr>
      <t>Bar chart</t>
    </r>
  </si>
  <si>
    <t>versicolor</t>
  </si>
  <si>
    <t>virginica</t>
  </si>
  <si>
    <t>Questions:</t>
  </si>
  <si>
    <t>1. How many different species do we have in this sample?</t>
  </si>
  <si>
    <t>2.What is the percentage breakdown of species in the sampled flowers?</t>
  </si>
  <si>
    <t>3. Show the weightage of three species in a pie chart.</t>
  </si>
  <si>
    <t>4. Display the frequency each of the species using a bar chart/bar graph</t>
  </si>
  <si>
    <t>Friends</t>
  </si>
  <si>
    <t>No difference</t>
  </si>
  <si>
    <t>Opposite sex</t>
  </si>
  <si>
    <t>Same sex</t>
  </si>
  <si>
    <t>Exercise</t>
  </si>
  <si>
    <t>1. State the available categories of friends.</t>
  </si>
  <si>
    <t xml:space="preserve">Frequency </t>
  </si>
  <si>
    <t>Total</t>
  </si>
  <si>
    <t>2.What is the percentage breakdown of categories in friends?</t>
  </si>
  <si>
    <t>Percentage</t>
  </si>
  <si>
    <t>3. Show the weightage of three friend categories in a pie chart.</t>
  </si>
  <si>
    <t>4. Display the frequency of each category using a bar chart</t>
  </si>
  <si>
    <t>One Numerical Variable</t>
  </si>
  <si>
    <t>Order</t>
  </si>
  <si>
    <t xml:space="preserve">We'll be looking at measures of central tendency and measures of dispersion to describe numerical data. </t>
  </si>
  <si>
    <t>Data</t>
  </si>
  <si>
    <t>25th percentile</t>
  </si>
  <si>
    <t>50th percentile</t>
  </si>
  <si>
    <t>75th percentile</t>
  </si>
  <si>
    <t>For the first exercise, let’s generate some random data.</t>
  </si>
  <si>
    <t>Q1</t>
  </si>
  <si>
    <t>Q2</t>
  </si>
  <si>
    <t>Q3</t>
  </si>
  <si>
    <r>
      <t>1.</t>
    </r>
    <r>
      <rPr>
        <sz val="11"/>
        <color rgb="FF000000"/>
        <rFont val="Calibri"/>
        <family val="2"/>
      </rPr>
      <t xml:space="preserve">Type “= RANDBETWEEN(0,8)” in cell A1. </t>
    </r>
  </si>
  <si>
    <r>
      <t>2.</t>
    </r>
    <r>
      <rPr>
        <sz val="11"/>
        <color rgb="FF000000"/>
        <rFont val="Calibri"/>
        <family val="2"/>
      </rPr>
      <t>Use AutoFill to repeat the formula in cells A2:A20.</t>
    </r>
  </si>
  <si>
    <t>=QUARTILE.EXC(B3:U3,1)</t>
  </si>
  <si>
    <t>=MEDIAN(B3:U3)</t>
  </si>
  <si>
    <t>=QUARTILE.EXC(B3:U3,3)</t>
  </si>
  <si>
    <t>=QUARTILE.EXC(B3:U3,2)</t>
  </si>
  <si>
    <t xml:space="preserve">Every time the spreadsheet is refreshed, the randomly generated values will change. </t>
  </si>
  <si>
    <t xml:space="preserve">To preserve the values, select the cells and paste as values. </t>
  </si>
  <si>
    <t>Descriptive statistics: random data</t>
  </si>
  <si>
    <t>Measures of Central Tendency</t>
  </si>
  <si>
    <t>Median</t>
  </si>
  <si>
    <t>= MEDIAN(A1:A20)</t>
  </si>
  <si>
    <t>Mean</t>
  </si>
  <si>
    <t>= AVERAGE(A1:A20)</t>
  </si>
  <si>
    <t>Mode</t>
  </si>
  <si>
    <t>=MODE.MULT(A1:A20)</t>
  </si>
  <si>
    <t>Measures of Dispersion</t>
  </si>
  <si>
    <t>Max</t>
  </si>
  <si>
    <t>=MAX(A1:A20)</t>
  </si>
  <si>
    <t>Min</t>
  </si>
  <si>
    <t>=MIN(A1:A20)</t>
  </si>
  <si>
    <t>Range</t>
  </si>
  <si>
    <t>=D10-D11</t>
  </si>
  <si>
    <t>=QUARTILE.EXC(A1:A20,1)</t>
  </si>
  <si>
    <t>=QUARTILE.EXC(A1:A20,2)</t>
  </si>
  <si>
    <t>=QUARTILE.EXC(A1:A20,3)</t>
  </si>
  <si>
    <t>IQR</t>
  </si>
  <si>
    <t>=D16-D14</t>
  </si>
  <si>
    <t>Upper fence</t>
  </si>
  <si>
    <t>=D16+1.5*D18</t>
  </si>
  <si>
    <t>Lower fence</t>
  </si>
  <si>
    <t>=D14-1.5*D18</t>
  </si>
  <si>
    <t>Variance</t>
  </si>
  <si>
    <t>=VAR.S(A1:A20)</t>
  </si>
  <si>
    <t>Standard deviation</t>
  </si>
  <si>
    <t>=STDEV.S(A1:A20)</t>
  </si>
  <si>
    <t>no_siblings</t>
  </si>
  <si>
    <t>Descriptive statistics</t>
  </si>
  <si>
    <t>Measures of central tendency</t>
  </si>
  <si>
    <t>=AVERAGE($A$2:$A$25)</t>
  </si>
  <si>
    <t xml:space="preserve">Median </t>
  </si>
  <si>
    <t>=MEDIAN(A2:A25)</t>
  </si>
  <si>
    <t>=MODE.MULT(A2:A25)</t>
  </si>
  <si>
    <t>Measures of dispersion</t>
  </si>
  <si>
    <t>=MAX(A2:A25)</t>
  </si>
  <si>
    <t>=MIN(A2:A25)</t>
  </si>
  <si>
    <t>=MAX(A2:A25)-MIN(A2:A25)</t>
  </si>
  <si>
    <t>=QUARTILE(A2:A25,1)</t>
  </si>
  <si>
    <t>=QUARTILE(A2:A25,2)</t>
  </si>
  <si>
    <t>=QUARTILE(A2:A25,3)</t>
  </si>
  <si>
    <t>=D11-D9</t>
  </si>
  <si>
    <t>Lower Fence</t>
  </si>
  <si>
    <t>=D15-1.5*D18</t>
  </si>
  <si>
    <t>Upper Fence</t>
  </si>
  <si>
    <t>=D1171.5*D18</t>
  </si>
  <si>
    <t>=VAR.S(A2:A25)</t>
  </si>
  <si>
    <t>=STDEV.S(A2:A25)</t>
  </si>
  <si>
    <t xml:space="preserve">Formulas </t>
  </si>
  <si>
    <t>=AND(A2&gt;H$23, A2&lt;H$24)</t>
  </si>
  <si>
    <t>(AutoFilled across - note mixed references)</t>
  </si>
  <si>
    <t>=AVERAGE(A$2:A$151)</t>
  </si>
  <si>
    <t>=MEDIAN(A$2:A$151)</t>
  </si>
  <si>
    <t>=MODE.MULT(A$2:A$151)</t>
  </si>
  <si>
    <r>
      <rPr>
        <b/>
        <sz val="12"/>
        <color theme="0"/>
        <rFont val="Calibri"/>
        <family val="2"/>
      </rPr>
      <t xml:space="preserve">Note: </t>
    </r>
    <r>
      <rPr>
        <sz val="12"/>
        <color theme="0"/>
        <rFont val="Calibri"/>
        <family val="2"/>
      </rPr>
      <t xml:space="preserve">This table checks if the data lie within the fences calculated using Tukey's method: returns TRUE if within; else FALSE. Data points labelled FALSE are outliers. </t>
    </r>
  </si>
  <si>
    <t>=MAX(A$2:A$151)</t>
  </si>
  <si>
    <t>=MIN(A$2:A$151)</t>
  </si>
  <si>
    <t>=H12-H13</t>
  </si>
  <si>
    <t>=QUARTILE.EXC(A$2:A$151, 1)</t>
  </si>
  <si>
    <t>=QUARTILE.EXC(A$2:A$151,3)</t>
  </si>
  <si>
    <t>=H16-H15</t>
  </si>
  <si>
    <t xml:space="preserve">Variance </t>
  </si>
  <si>
    <t>=VAR.S(A$2:A$151)</t>
  </si>
  <si>
    <t>=STDEV.S(A$2:A$151)</t>
  </si>
  <si>
    <t>Determining outliers using Tukey's Method</t>
  </si>
  <si>
    <t>=H15-1.5*H17</t>
  </si>
  <si>
    <t>=H16+1.5*H17</t>
  </si>
  <si>
    <t>Boxplot</t>
  </si>
  <si>
    <t>Histograms</t>
  </si>
  <si>
    <t>Row Labels</t>
  </si>
  <si>
    <t>Grand Total</t>
  </si>
  <si>
    <t>Count of Species</t>
  </si>
  <si>
    <t>Count of Friends</t>
  </si>
  <si>
    <t>turkey method</t>
  </si>
  <si>
    <t>q3+1.5xIQR</t>
  </si>
  <si>
    <t>Q1-1.5xIQR</t>
  </si>
  <si>
    <t>Dot dot = outlier</t>
  </si>
  <si>
    <t>(value for outlier)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</si>
</sst>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3"/>
      <name val="Calibri Light"/>
      <family val="2"/>
      <scheme val="major"/>
    </font>
    <font>
      <sz val="11"/>
      <color rgb="FF404040"/>
      <name val="Helvetica Neue"/>
      <family val="2"/>
    </font>
    <font>
      <sz val="18"/>
      <color theme="1"/>
      <name val="+mj-lt"/>
    </font>
    <font>
      <i/>
      <sz val="18"/>
      <color rgb="FF000000"/>
      <name val="Helvetica Neue"/>
      <family val="2"/>
    </font>
    <font>
      <sz val="26"/>
      <color theme="3"/>
      <name val="Calibri Light"/>
      <family val="2"/>
      <scheme val="major"/>
    </font>
    <font>
      <i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rgb="FF7F7F7F"/>
      <name val="Calibri"/>
      <family val="2"/>
      <scheme val="minor"/>
    </font>
    <font>
      <i/>
      <sz val="12"/>
      <color theme="1" tint="0.499984740745262"/>
      <name val="Calibri"/>
      <family val="2"/>
    </font>
    <font>
      <sz val="12"/>
      <color theme="1" tint="0.499984740745262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sz val="18"/>
      <color rgb="FF1F744B"/>
      <name val="Tahoma"/>
      <family val="2"/>
    </font>
    <font>
      <sz val="11"/>
      <color rgb="FF3F3F76"/>
      <name val="Calibri"/>
      <family val="2"/>
      <scheme val="minor"/>
    </font>
    <font>
      <sz val="11"/>
      <color rgb="FF000000"/>
      <name val="Calibri"/>
      <family val="2"/>
    </font>
    <font>
      <sz val="12"/>
      <color rgb="FF00B05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A4D"/>
        <bgColor indexed="64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30" fillId="4" borderId="5" applyNumberFormat="0" applyAlignment="0" applyProtection="0"/>
  </cellStyleXfs>
  <cellXfs count="76">
    <xf numFmtId="0" fontId="0" fillId="0" borderId="0" xfId="0"/>
    <xf numFmtId="0" fontId="6" fillId="0" borderId="0" xfId="4"/>
    <xf numFmtId="0" fontId="7" fillId="0" borderId="0" xfId="1" applyFont="1"/>
    <xf numFmtId="0" fontId="3" fillId="0" borderId="1" xfId="2"/>
    <xf numFmtId="0" fontId="6" fillId="0" borderId="0" xfId="5"/>
    <xf numFmtId="0" fontId="4" fillId="0" borderId="2" xfId="3"/>
    <xf numFmtId="0" fontId="4" fillId="0" borderId="2" xfId="3" applyAlignment="1">
      <alignment horizontal="left" vertical="center" readingOrder="1"/>
    </xf>
    <xf numFmtId="0" fontId="0" fillId="0" borderId="0" xfId="0" quotePrefix="1"/>
    <xf numFmtId="0" fontId="6" fillId="0" borderId="0" xfId="0" applyFont="1"/>
    <xf numFmtId="0" fontId="6" fillId="0" borderId="0" xfId="5" quotePrefix="1"/>
    <xf numFmtId="0" fontId="9" fillId="0" borderId="0" xfId="5" applyFont="1" applyAlignment="1">
      <alignment horizontal="left" vertical="center" readingOrder="1"/>
    </xf>
    <xf numFmtId="0" fontId="6" fillId="2" borderId="0" xfId="5" applyFill="1"/>
    <xf numFmtId="0" fontId="6" fillId="0" borderId="0" xfId="4" quotePrefix="1"/>
    <xf numFmtId="0" fontId="10" fillId="0" borderId="0" xfId="4" applyFont="1"/>
    <xf numFmtId="0" fontId="6" fillId="0" borderId="3" xfId="4" applyBorder="1"/>
    <xf numFmtId="0" fontId="6" fillId="0" borderId="4" xfId="4" quotePrefix="1" applyBorder="1"/>
    <xf numFmtId="0" fontId="4" fillId="0" borderId="2" xfId="3" applyAlignment="1">
      <alignment vertical="center" readingOrder="1"/>
    </xf>
    <xf numFmtId="0" fontId="9" fillId="0" borderId="0" xfId="4" applyFont="1" applyAlignment="1">
      <alignment horizontal="left" vertical="center" readingOrder="1"/>
    </xf>
    <xf numFmtId="0" fontId="6" fillId="2" borderId="0" xfId="4" applyFill="1"/>
    <xf numFmtId="0" fontId="11" fillId="0" borderId="0" xfId="1" applyFont="1"/>
    <xf numFmtId="0" fontId="12" fillId="0" borderId="3" xfId="0" applyFont="1" applyBorder="1" applyAlignment="1">
      <alignment horizontal="right"/>
    </xf>
    <xf numFmtId="0" fontId="13" fillId="0" borderId="3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2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quotePrefix="1" applyFont="1" applyAlignment="1">
      <alignment vertical="top"/>
    </xf>
    <xf numFmtId="0" fontId="17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/>
    <xf numFmtId="0" fontId="5" fillId="0" borderId="0" xfId="0" applyFont="1"/>
    <xf numFmtId="0" fontId="20" fillId="0" borderId="0" xfId="0" quotePrefix="1" applyFont="1"/>
    <xf numFmtId="0" fontId="20" fillId="0" borderId="0" xfId="0" applyFont="1"/>
    <xf numFmtId="0" fontId="6" fillId="0" borderId="3" xfId="0" applyFont="1" applyBorder="1"/>
    <xf numFmtId="0" fontId="16" fillId="0" borderId="3" xfId="0" applyFont="1" applyBorder="1"/>
    <xf numFmtId="0" fontId="16" fillId="0" borderId="0" xfId="4" applyFont="1"/>
    <xf numFmtId="0" fontId="21" fillId="0" borderId="0" xfId="0" quotePrefix="1" applyFont="1"/>
    <xf numFmtId="0" fontId="21" fillId="0" borderId="0" xfId="0" applyFont="1"/>
    <xf numFmtId="0" fontId="21" fillId="0" borderId="0" xfId="4" applyFont="1"/>
    <xf numFmtId="49" fontId="21" fillId="0" borderId="0" xfId="0" quotePrefix="1" applyNumberFormat="1" applyFont="1"/>
    <xf numFmtId="49" fontId="21" fillId="0" borderId="0" xfId="0" applyNumberFormat="1" applyFont="1"/>
    <xf numFmtId="164" fontId="6" fillId="0" borderId="0" xfId="0" applyNumberFormat="1" applyFont="1"/>
    <xf numFmtId="0" fontId="22" fillId="0" borderId="3" xfId="0" applyFont="1" applyBorder="1" applyAlignment="1">
      <alignment horizontal="center"/>
    </xf>
    <xf numFmtId="0" fontId="23" fillId="0" borderId="0" xfId="0" applyFont="1"/>
    <xf numFmtId="0" fontId="5" fillId="0" borderId="3" xfId="6" applyFont="1" applyBorder="1"/>
    <xf numFmtId="0" fontId="23" fillId="0" borderId="0" xfId="0" applyFont="1" applyAlignment="1">
      <alignment horizontal="right"/>
    </xf>
    <xf numFmtId="0" fontId="25" fillId="0" borderId="0" xfId="0" applyFont="1" applyAlignment="1">
      <alignment wrapText="1"/>
    </xf>
    <xf numFmtId="0" fontId="1" fillId="0" borderId="0" xfId="6" applyFont="1"/>
    <xf numFmtId="0" fontId="26" fillId="0" borderId="0" xfId="0" quotePrefix="1" applyFont="1"/>
    <xf numFmtId="0" fontId="23" fillId="0" borderId="3" xfId="0" applyFont="1" applyBorder="1"/>
    <xf numFmtId="0" fontId="5" fillId="0" borderId="3" xfId="0" applyFont="1" applyBorder="1" applyAlignment="1">
      <alignment horizontal="center"/>
    </xf>
    <xf numFmtId="0" fontId="25" fillId="0" borderId="0" xfId="0" applyFont="1"/>
    <xf numFmtId="0" fontId="22" fillId="0" borderId="0" xfId="0" applyFont="1"/>
    <xf numFmtId="0" fontId="26" fillId="0" borderId="0" xfId="0" applyFont="1"/>
    <xf numFmtId="0" fontId="29" fillId="0" borderId="0" xfId="0" applyFont="1"/>
    <xf numFmtId="164" fontId="26" fillId="0" borderId="0" xfId="0" applyNumberFormat="1" applyFont="1"/>
    <xf numFmtId="0" fontId="30" fillId="4" borderId="5" xfId="7"/>
    <xf numFmtId="164" fontId="30" fillId="4" borderId="5" xfId="7" applyNumberFormat="1"/>
    <xf numFmtId="165" fontId="30" fillId="4" borderId="5" xfId="7" applyNumberFormat="1"/>
    <xf numFmtId="0" fontId="30" fillId="4" borderId="0" xfId="7" applyBorder="1"/>
    <xf numFmtId="0" fontId="30" fillId="4" borderId="0" xfId="7" quotePrefix="1" applyBorder="1"/>
    <xf numFmtId="0" fontId="30" fillId="4" borderId="4" xfId="7" applyBorder="1"/>
    <xf numFmtId="0" fontId="30" fillId="4" borderId="6" xfId="7" quotePrefix="1" applyBorder="1"/>
    <xf numFmtId="0" fontId="31" fillId="0" borderId="0" xfId="0" applyFont="1" applyAlignment="1">
      <alignment horizontal="left" vertical="center" readingOrder="1"/>
    </xf>
    <xf numFmtId="0" fontId="15" fillId="0" borderId="0" xfId="0" applyFont="1" applyAlignment="1">
      <alignment horizontal="left" vertical="center" indent="6" readingOrder="1"/>
    </xf>
    <xf numFmtId="0" fontId="27" fillId="3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9" fontId="6" fillId="0" borderId="0" xfId="0" applyNumberFormat="1" applyFont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32" fillId="0" borderId="0" xfId="0" applyFont="1"/>
  </cellXfs>
  <cellStyles count="8">
    <cellStyle name="Explanatory Text 2" xfId="6" xr:uid="{95C9C6D9-5614-4394-BE65-D6E368D4DA2A}"/>
    <cellStyle name="Heading 1" xfId="2" builtinId="16"/>
    <cellStyle name="Heading 2" xfId="3" builtinId="17"/>
    <cellStyle name="Input" xfId="7" builtinId="20"/>
    <cellStyle name="Normal" xfId="0" builtinId="0"/>
    <cellStyle name="Normal 2" xfId="4" xr:uid="{7AEE1D23-EB94-4222-8ED9-D8FAB1BFD507}"/>
    <cellStyle name="Normal 2 2" xfId="5" xr:uid="{4935A394-5D3F-45D3-89DC-202CCABA58A5}"/>
    <cellStyle name="Title" xfId="1" builtinId="1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Light16">
    <tableStyle name="Invisible" pivot="0" table="0" count="0" xr9:uid="{FA8670E0-316D-4033-9B11-F7EF6F5A1355}"/>
    <tableStyle name="MySqlDefault" pivot="0" table="0" count="2" xr9:uid="{C803E3A2-2B89-4222-9F26-13279BE1EAA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Day 2a_SC.xlsx]iris_Example!PivotTable4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Weightage</a:t>
            </a:r>
            <a:r>
              <a:rPr lang="en-US" baseline="0"/>
              <a:t> of Three Species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666666666666567E-2"/>
              <c:y val="-6.944444444444444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1111111111111109E-2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4444444444444444"/>
              <c:y val="-5.09259259259259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iris_Example!$B$25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25D-4223-B8CA-3655D5770D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25D-4223-B8CA-3655D5770D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5D-4223-B8CA-3655D5770D11}"/>
              </c:ext>
            </c:extLst>
          </c:dPt>
          <c:dLbls>
            <c:dLbl>
              <c:idx val="0"/>
              <c:layout>
                <c:manualLayout>
                  <c:x val="4.1666666666666567E-2"/>
                  <c:y val="-6.94444444444444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5D-4223-B8CA-3655D5770D11}"/>
                </c:ext>
              </c:extLst>
            </c:dLbl>
            <c:dLbl>
              <c:idx val="1"/>
              <c:layout>
                <c:manualLayout>
                  <c:x val="0.24444444444444444"/>
                  <c:y val="-5.09259259259259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5D-4223-B8CA-3655D5770D11}"/>
                </c:ext>
              </c:extLst>
            </c:dLbl>
            <c:dLbl>
              <c:idx val="2"/>
              <c:layout>
                <c:manualLayout>
                  <c:x val="-6.1111111111111109E-2"/>
                  <c:y val="-1.85185185185185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5D-4223-B8CA-3655D5770D1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iris_Example!$A$26:$A$29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iris_Example!$B$26:$B$29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D-4223-B8CA-3655D5770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Day 2a_SC.xlsx]iris_Example!PivotTable5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of 3 species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iris_Example!$C$44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B18-4A5C-A6B7-EB1557F4D1AA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18-4A5C-A6B7-EB1557F4D1A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iris_Example!$B$45:$B$48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iris_Example!$C$45:$C$48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8-4A5C-A6B7-EB1557F4D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468032"/>
        <c:axId val="280477632"/>
      </c:barChart>
      <c:catAx>
        <c:axId val="28046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477632"/>
        <c:crosses val="autoZero"/>
        <c:auto val="1"/>
        <c:lblAlgn val="ctr"/>
        <c:lblOffset val="100"/>
        <c:noMultiLvlLbl val="0"/>
      </c:catAx>
      <c:valAx>
        <c:axId val="2804776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8046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Day 2a_SC.xlsx]friends_Exercise!PivotTable11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Weightage</a:t>
            </a:r>
            <a:r>
              <a:rPr lang="en-US" baseline="0"/>
              <a:t> of Three friend catagories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44444444444344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1111111111111109E-2"/>
              <c:y val="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05"/>
              <c:y val="6.018518518518509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friends_Exercise!$K$22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1A1-4AE6-983D-789B454AE9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1A1-4AE6-983D-789B454AE9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A1-4AE6-983D-789B454AE9F3}"/>
              </c:ext>
            </c:extLst>
          </c:dPt>
          <c:dLbls>
            <c:dLbl>
              <c:idx val="0"/>
              <c:layout>
                <c:manualLayout>
                  <c:x val="1.9444444444444344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A1-4AE6-983D-789B454AE9F3}"/>
                </c:ext>
              </c:extLst>
            </c:dLbl>
            <c:dLbl>
              <c:idx val="1"/>
              <c:layout>
                <c:manualLayout>
                  <c:x val="-0.05"/>
                  <c:y val="6.01851851851850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A1-4AE6-983D-789B454AE9F3}"/>
                </c:ext>
              </c:extLst>
            </c:dLbl>
            <c:dLbl>
              <c:idx val="2"/>
              <c:layout>
                <c:manualLayout>
                  <c:x val="-6.1111111111111109E-2"/>
                  <c:y val="9.25925925925925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A1-4AE6-983D-789B454AE9F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friends_Exercise!$J$23:$J$26</c:f>
              <c:strCache>
                <c:ptCount val="3"/>
                <c:pt idx="0">
                  <c:v>No difference</c:v>
                </c:pt>
                <c:pt idx="1">
                  <c:v>Opposite sex</c:v>
                </c:pt>
                <c:pt idx="2">
                  <c:v>Same sex</c:v>
                </c:pt>
              </c:strCache>
            </c:strRef>
          </c:cat>
          <c:val>
            <c:numRef>
              <c:f>friends_Exercise!$K$23:$K$26</c:f>
              <c:numCache>
                <c:formatCode>0.00%</c:formatCode>
                <c:ptCount val="3"/>
                <c:pt idx="0">
                  <c:v>0.50166666666666671</c:v>
                </c:pt>
                <c:pt idx="1">
                  <c:v>0.36166666666666669</c:v>
                </c:pt>
                <c:pt idx="2">
                  <c:v>0.13666666666666666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1-4AE6-983D-789B454AE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Day 2a_SC.xlsx]friends_Exercise!PivotTable12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of three friends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friends_Exercise!$K$41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4A-4B18-B735-D5EEF3C7C610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4A-4B18-B735-D5EEF3C7C61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friends_Exercise!$J$42:$J$45</c:f>
              <c:strCache>
                <c:ptCount val="3"/>
                <c:pt idx="0">
                  <c:v>No difference</c:v>
                </c:pt>
                <c:pt idx="1">
                  <c:v>Opposite sex</c:v>
                </c:pt>
                <c:pt idx="2">
                  <c:v>Same sex</c:v>
                </c:pt>
              </c:strCache>
            </c:strRef>
          </c:cat>
          <c:val>
            <c:numRef>
              <c:f>friends_Exercise!$K$42:$K$45</c:f>
              <c:numCache>
                <c:formatCode>General</c:formatCode>
                <c:ptCount val="3"/>
                <c:pt idx="0">
                  <c:v>602</c:v>
                </c:pt>
                <c:pt idx="1">
                  <c:v>434</c:v>
                </c:pt>
                <c:pt idx="2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A-4B18-B735-D5EEF3C7C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385472"/>
        <c:axId val="280390272"/>
      </c:barChart>
      <c:catAx>
        <c:axId val="280385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0390272"/>
        <c:crosses val="autoZero"/>
        <c:auto val="1"/>
        <c:lblAlgn val="ctr"/>
        <c:lblOffset val="100"/>
        <c:noMultiLvlLbl val="0"/>
      </c:catAx>
      <c:valAx>
        <c:axId val="2803902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8038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No_Siblings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No_Siblings</a:t>
          </a:r>
        </a:p>
      </cx:txPr>
    </cx:title>
    <cx:plotArea>
      <cx:plotAreaRegion>
        <cx:series layoutId="boxWhisker" uniqueId="{CA050092-E6BF-40B7-A125-197CC4B0D6B8}">
          <cx:tx>
            <cx:txData>
              <cx:f>_xlchart.v1.2</cx:f>
              <cx:v>no_siblings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  <cx:data id="3">
      <cx:numDim type="val">
        <cx:f>_xlchart.v1.25</cx:f>
      </cx:numDim>
    </cx:data>
  </cx:chartData>
  <cx:chart>
    <cx:title pos="t" align="ctr" overlay="0">
      <cx:tx>
        <cx:txData>
          <cx:v>Iris central  measures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Iris central  measures</a:t>
          </a:r>
        </a:p>
      </cx:txPr>
    </cx:title>
    <cx:plotArea>
      <cx:plotAreaRegion>
        <cx:series layoutId="boxWhisker" uniqueId="{589BB1D6-D911-44AA-9783-BA8CA19F5543}">
          <cx:tx>
            <cx:txData>
              <cx:f>_xlchart.v1.18</cx:f>
              <cx:v>Sepal.Length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316C503-7134-47A7-8955-3C3295FB3395}">
          <cx:tx>
            <cx:txData>
              <cx:f>_xlchart.v1.20</cx:f>
              <cx:v>Sepal.Length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21ED747-58A1-4AD8-93FA-746EA7FDBAC8}">
          <cx:tx>
            <cx:txData>
              <cx:f>_xlchart.v1.22</cx:f>
              <cx:v>Sepal.Length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D61689F-B254-440F-89B0-7A15532F5D89}">
          <cx:tx>
            <cx:txData>
              <cx:f>_xlchart.v1.24</cx:f>
              <cx:v>Sepal.Length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>
      <cx:tx>
        <cx:txData>
          <cx:v>Sepal lenght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Sepal lenght</a:t>
          </a:r>
        </a:p>
      </cx:txPr>
    </cx:title>
    <cx:plotArea>
      <cx:plotAreaRegion>
        <cx:series layoutId="clusteredColumn" uniqueId="{281ED48B-6DDF-4EBF-AFF9-E21B22A08A20}">
          <cx:tx>
            <cx:txData>
              <cx:f>_xlchart.v1.30</cx:f>
              <cx:v>Sepal.Length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Sepal width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Sepal width</a:t>
          </a:r>
        </a:p>
      </cx:txPr>
    </cx:title>
    <cx:plotArea>
      <cx:plotAreaRegion>
        <cx:series layoutId="clusteredColumn" uniqueId="{8E5BF19F-AE38-4FDF-AF29-3DA05A1AE7CB}">
          <cx:tx>
            <cx:txData>
              <cx:f>_xlchart.v1.28</cx:f>
              <cx:v>Sepal.Length</cx:v>
            </cx:txData>
          </cx:tx>
          <cx:spPr>
            <a:solidFill>
              <a:schemeClr val="accent2"/>
            </a:solidFill>
          </cx:spPr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Petal Length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Petal Length</a:t>
          </a:r>
        </a:p>
      </cx:txPr>
    </cx:title>
    <cx:plotArea>
      <cx:plotAreaRegion>
        <cx:series layoutId="clusteredColumn" uniqueId="{55887464-2357-46C0-BCFA-27BBB5CB3AC4}">
          <cx:tx>
            <cx:txData>
              <cx:f>_xlchart.v1.4</cx:f>
              <cx:v>Sepal.Length</cx:v>
            </cx:txData>
          </cx:tx>
          <cx:spPr>
            <a:solidFill>
              <a:schemeClr val="bg1">
                <a:lumMod val="65000"/>
              </a:schemeClr>
            </a:solidFill>
          </cx:spPr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Petal width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Petal width</a:t>
          </a:r>
        </a:p>
      </cx:txPr>
    </cx:title>
    <cx:plotArea>
      <cx:plotAreaRegion>
        <cx:series layoutId="clusteredColumn" uniqueId="{4DEA9CBA-9604-4114-BDC1-22F158073A79}">
          <cx:tx>
            <cx:txData>
              <cx:f>_xlchart.v1.26</cx:f>
              <cx:v>Sepal.Length</cx:v>
            </cx:txData>
          </cx:tx>
          <cx:spPr>
            <a:solidFill>
              <a:schemeClr val="accent4"/>
            </a:solidFill>
          </cx:spPr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5" Type="http://schemas.microsoft.com/office/2014/relationships/chartEx" Target="../charts/chartEx6.xml"/><Relationship Id="rId4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5621</xdr:colOff>
      <xdr:row>24</xdr:row>
      <xdr:rowOff>2061</xdr:rowOff>
    </xdr:from>
    <xdr:to>
      <xdr:col>8</xdr:col>
      <xdr:colOff>404734</xdr:colOff>
      <xdr:row>37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56222-0E8F-C6DD-D593-2DC422A75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2249</xdr:colOff>
      <xdr:row>43</xdr:row>
      <xdr:rowOff>2061</xdr:rowOff>
    </xdr:from>
    <xdr:to>
      <xdr:col>9</xdr:col>
      <xdr:colOff>860686</xdr:colOff>
      <xdr:row>56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03DE6D-7CEF-1EE5-4622-C799B4BB8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358140</xdr:colOff>
      <xdr:row>21</xdr:row>
      <xdr:rowOff>148590</xdr:rowOff>
    </xdr:from>
    <xdr:to>
      <xdr:col>7</xdr:col>
      <xdr:colOff>15240</xdr:colOff>
      <xdr:row>35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4BD6DA-12CC-74F3-E6F3-7D09714C4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373380</xdr:colOff>
      <xdr:row>41</xdr:row>
      <xdr:rowOff>171450</xdr:rowOff>
    </xdr:from>
    <xdr:to>
      <xdr:col>7</xdr:col>
      <xdr:colOff>30480</xdr:colOff>
      <xdr:row>55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F4785D-92EF-42BD-7B56-CB69529FD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341129</xdr:colOff>
      <xdr:row>0</xdr:row>
      <xdr:rowOff>28353</xdr:rowOff>
    </xdr:from>
    <xdr:to>
      <xdr:col>16</xdr:col>
      <xdr:colOff>93036</xdr:colOff>
      <xdr:row>13</xdr:row>
      <xdr:rowOff>166576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62E2BF3-21D2-09E3-4093-B0F0522911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6803" y="2835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M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641684</xdr:colOff>
      <xdr:row>32</xdr:row>
      <xdr:rowOff>24063</xdr:rowOff>
    </xdr:from>
    <xdr:to>
      <xdr:col>12</xdr:col>
      <xdr:colOff>280737</xdr:colOff>
      <xdr:row>45</xdr:row>
      <xdr:rowOff>160421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10C48D7-9CE7-4370-9901-21AA5B1852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2758" y="665747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M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</xdr:colOff>
      <xdr:row>51</xdr:row>
      <xdr:rowOff>0</xdr:rowOff>
    </xdr:from>
    <xdr:to>
      <xdr:col>9</xdr:col>
      <xdr:colOff>322385</xdr:colOff>
      <xdr:row>61</xdr:row>
      <xdr:rowOff>117231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822F520-4D3B-498A-AD90-0623F91429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2309" y="10726615"/>
              <a:ext cx="3297114" cy="2168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M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307731</xdr:colOff>
      <xdr:row>51</xdr:row>
      <xdr:rowOff>1</xdr:rowOff>
    </xdr:from>
    <xdr:to>
      <xdr:col>14</xdr:col>
      <xdr:colOff>14654</xdr:colOff>
      <xdr:row>61</xdr:row>
      <xdr:rowOff>131884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DA6685A-4E82-4836-BCA2-D067D6F0A6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4769" y="10726616"/>
              <a:ext cx="3355731" cy="2183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M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61</xdr:row>
      <xdr:rowOff>117231</xdr:rowOff>
    </xdr:from>
    <xdr:to>
      <xdr:col>9</xdr:col>
      <xdr:colOff>322385</xdr:colOff>
      <xdr:row>71</xdr:row>
      <xdr:rowOff>102577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D8F43701-AD54-42B4-8E43-C98CFB02D8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2308" y="12895385"/>
              <a:ext cx="3297115" cy="20368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M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322385</xdr:colOff>
      <xdr:row>61</xdr:row>
      <xdr:rowOff>131884</xdr:rowOff>
    </xdr:from>
    <xdr:to>
      <xdr:col>13</xdr:col>
      <xdr:colOff>835269</xdr:colOff>
      <xdr:row>71</xdr:row>
      <xdr:rowOff>146539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08A49449-7CC7-4BCA-8522-1521FECA4B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79423" y="12910038"/>
              <a:ext cx="3311769" cy="20661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M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5791.422670370368" createdVersion="8" refreshedVersion="8" minRefreshableVersion="3" recordCount="150" xr:uid="{F4D1DB93-8392-49DA-A37D-4A9AD7BC509D}">
  <cacheSource type="worksheet">
    <worksheetSource ref="A1:E151" sheet="OneCategoricalVariable"/>
  </cacheSource>
  <cacheFields count="5">
    <cacheField name="Species" numFmtId="0">
      <sharedItems count="3">
        <s v="setosa"/>
        <s v="versicolor"/>
        <s v="virginica"/>
      </sharedItems>
    </cacheField>
    <cacheField name="Sepal.Length" numFmtId="0">
      <sharedItems containsSemiMixedTypes="0" containsString="0" containsNumber="1" minValue="4.3" maxValue="7.9"/>
    </cacheField>
    <cacheField name="Sepal.Width" numFmtId="0">
      <sharedItems containsSemiMixedTypes="0" containsString="0" containsNumber="1" minValue="2" maxValue="4.4000000000000004"/>
    </cacheField>
    <cacheField name="Petal.Length" numFmtId="0">
      <sharedItems containsSemiMixedTypes="0" containsString="0" containsNumber="1" minValue="1" maxValue="6.9"/>
    </cacheField>
    <cacheField name="Petal.Width" numFmtId="0">
      <sharedItems containsSemiMixedTypes="0" containsString="0" containsNumber="1" minValue="0.1" maxValue="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5791.439171064812" createdVersion="8" refreshedVersion="8" minRefreshableVersion="3" recordCount="1200" xr:uid="{BD28A6C1-7744-4E6B-95E8-47A8078FDD46}">
  <cacheSource type="worksheet">
    <worksheetSource ref="A1:A1201" sheet="friends"/>
  </cacheSource>
  <cacheFields count="1">
    <cacheField name="Friends" numFmtId="0">
      <sharedItems count="3">
        <s v="No difference"/>
        <s v="Opposite sex"/>
        <s v="Same s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n v="5.0999999999999996"/>
    <n v="3.5"/>
    <n v="1.4"/>
    <n v="0.2"/>
  </r>
  <r>
    <x v="0"/>
    <n v="4.9000000000000004"/>
    <n v="3"/>
    <n v="1.4"/>
    <n v="0.2"/>
  </r>
  <r>
    <x v="0"/>
    <n v="4.7"/>
    <n v="3.2"/>
    <n v="1.3"/>
    <n v="0.2"/>
  </r>
  <r>
    <x v="0"/>
    <n v="4.5999999999999996"/>
    <n v="3.1"/>
    <n v="1.5"/>
    <n v="0.2"/>
  </r>
  <r>
    <x v="0"/>
    <n v="5"/>
    <n v="3.6"/>
    <n v="1.4"/>
    <n v="0.2"/>
  </r>
  <r>
    <x v="0"/>
    <n v="5.4"/>
    <n v="3.9"/>
    <n v="1.7"/>
    <n v="0.4"/>
  </r>
  <r>
    <x v="0"/>
    <n v="4.5999999999999996"/>
    <n v="3.4"/>
    <n v="1.4"/>
    <n v="0.3"/>
  </r>
  <r>
    <x v="0"/>
    <n v="5"/>
    <n v="3.4"/>
    <n v="1.5"/>
    <n v="0.2"/>
  </r>
  <r>
    <x v="0"/>
    <n v="4.4000000000000004"/>
    <n v="2.9"/>
    <n v="1.4"/>
    <n v="0.2"/>
  </r>
  <r>
    <x v="0"/>
    <n v="4.9000000000000004"/>
    <n v="3.1"/>
    <n v="1.5"/>
    <n v="0.1"/>
  </r>
  <r>
    <x v="0"/>
    <n v="5.4"/>
    <n v="3.7"/>
    <n v="1.5"/>
    <n v="0.2"/>
  </r>
  <r>
    <x v="0"/>
    <n v="4.8"/>
    <n v="3.4"/>
    <n v="1.6"/>
    <n v="0.2"/>
  </r>
  <r>
    <x v="0"/>
    <n v="4.8"/>
    <n v="3"/>
    <n v="1.4"/>
    <n v="0.1"/>
  </r>
  <r>
    <x v="0"/>
    <n v="4.3"/>
    <n v="3"/>
    <n v="1.1000000000000001"/>
    <n v="0.1"/>
  </r>
  <r>
    <x v="0"/>
    <n v="5.8"/>
    <n v="4"/>
    <n v="1.2"/>
    <n v="0.2"/>
  </r>
  <r>
    <x v="0"/>
    <n v="5.7"/>
    <n v="4.4000000000000004"/>
    <n v="1.5"/>
    <n v="0.4"/>
  </r>
  <r>
    <x v="0"/>
    <n v="5.4"/>
    <n v="3.9"/>
    <n v="1.3"/>
    <n v="0.4"/>
  </r>
  <r>
    <x v="0"/>
    <n v="5.0999999999999996"/>
    <n v="3.5"/>
    <n v="1.4"/>
    <n v="0.3"/>
  </r>
  <r>
    <x v="0"/>
    <n v="5.7"/>
    <n v="3.8"/>
    <n v="1.7"/>
    <n v="0.3"/>
  </r>
  <r>
    <x v="0"/>
    <n v="5.0999999999999996"/>
    <n v="3.8"/>
    <n v="1.5"/>
    <n v="0.3"/>
  </r>
  <r>
    <x v="0"/>
    <n v="5.4"/>
    <n v="3.4"/>
    <n v="1.7"/>
    <n v="0.2"/>
  </r>
  <r>
    <x v="0"/>
    <n v="5.0999999999999996"/>
    <n v="3.7"/>
    <n v="1.5"/>
    <n v="0.4"/>
  </r>
  <r>
    <x v="0"/>
    <n v="4.5999999999999996"/>
    <n v="3.6"/>
    <n v="1"/>
    <n v="0.2"/>
  </r>
  <r>
    <x v="0"/>
    <n v="5.0999999999999996"/>
    <n v="3.3"/>
    <n v="1.7"/>
    <n v="0.5"/>
  </r>
  <r>
    <x v="0"/>
    <n v="4.8"/>
    <n v="3.4"/>
    <n v="1.9"/>
    <n v="0.2"/>
  </r>
  <r>
    <x v="0"/>
    <n v="5"/>
    <n v="3"/>
    <n v="1.6"/>
    <n v="0.2"/>
  </r>
  <r>
    <x v="0"/>
    <n v="5"/>
    <n v="3.4"/>
    <n v="1.6"/>
    <n v="0.4"/>
  </r>
  <r>
    <x v="0"/>
    <n v="5.2"/>
    <n v="3.5"/>
    <n v="1.5"/>
    <n v="0.2"/>
  </r>
  <r>
    <x v="0"/>
    <n v="5.2"/>
    <n v="3.4"/>
    <n v="1.4"/>
    <n v="0.2"/>
  </r>
  <r>
    <x v="0"/>
    <n v="4.7"/>
    <n v="3.2"/>
    <n v="1.6"/>
    <n v="0.2"/>
  </r>
  <r>
    <x v="0"/>
    <n v="4.8"/>
    <n v="3.1"/>
    <n v="1.6"/>
    <n v="0.2"/>
  </r>
  <r>
    <x v="0"/>
    <n v="5.4"/>
    <n v="3.4"/>
    <n v="1.5"/>
    <n v="0.4"/>
  </r>
  <r>
    <x v="0"/>
    <n v="5.2"/>
    <n v="4.0999999999999996"/>
    <n v="1.5"/>
    <n v="0.1"/>
  </r>
  <r>
    <x v="0"/>
    <n v="5.5"/>
    <n v="4.2"/>
    <n v="1.4"/>
    <n v="0.2"/>
  </r>
  <r>
    <x v="0"/>
    <n v="4.9000000000000004"/>
    <n v="3.1"/>
    <n v="1.5"/>
    <n v="0.2"/>
  </r>
  <r>
    <x v="0"/>
    <n v="5"/>
    <n v="3.2"/>
    <n v="1.2"/>
    <n v="0.2"/>
  </r>
  <r>
    <x v="0"/>
    <n v="5.5"/>
    <n v="3.5"/>
    <n v="1.3"/>
    <n v="0.2"/>
  </r>
  <r>
    <x v="0"/>
    <n v="4.9000000000000004"/>
    <n v="3.6"/>
    <n v="1.4"/>
    <n v="0.1"/>
  </r>
  <r>
    <x v="0"/>
    <n v="4.4000000000000004"/>
    <n v="3"/>
    <n v="1.3"/>
    <n v="0.2"/>
  </r>
  <r>
    <x v="0"/>
    <n v="5.0999999999999996"/>
    <n v="3.4"/>
    <n v="1.5"/>
    <n v="0.2"/>
  </r>
  <r>
    <x v="0"/>
    <n v="5"/>
    <n v="3.5"/>
    <n v="1.3"/>
    <n v="0.3"/>
  </r>
  <r>
    <x v="0"/>
    <n v="4.5"/>
    <n v="2.2999999999999998"/>
    <n v="1.3"/>
    <n v="0.3"/>
  </r>
  <r>
    <x v="0"/>
    <n v="4.4000000000000004"/>
    <n v="3.2"/>
    <n v="1.3"/>
    <n v="0.2"/>
  </r>
  <r>
    <x v="0"/>
    <n v="5"/>
    <n v="3.5"/>
    <n v="1.6"/>
    <n v="0.6"/>
  </r>
  <r>
    <x v="0"/>
    <n v="5.0999999999999996"/>
    <n v="3.8"/>
    <n v="1.9"/>
    <n v="0.4"/>
  </r>
  <r>
    <x v="0"/>
    <n v="4.8"/>
    <n v="3"/>
    <n v="1.4"/>
    <n v="0.3"/>
  </r>
  <r>
    <x v="0"/>
    <n v="5.0999999999999996"/>
    <n v="3.8"/>
    <n v="1.6"/>
    <n v="0.2"/>
  </r>
  <r>
    <x v="0"/>
    <n v="4.5999999999999996"/>
    <n v="3.2"/>
    <n v="1.4"/>
    <n v="0.2"/>
  </r>
  <r>
    <x v="0"/>
    <n v="5.3"/>
    <n v="3.7"/>
    <n v="1.5"/>
    <n v="0.2"/>
  </r>
  <r>
    <x v="0"/>
    <n v="5"/>
    <n v="3.3"/>
    <n v="1.4"/>
    <n v="0.2"/>
  </r>
  <r>
    <x v="1"/>
    <n v="7"/>
    <n v="3.2"/>
    <n v="4.7"/>
    <n v="1.4"/>
  </r>
  <r>
    <x v="1"/>
    <n v="6.4"/>
    <n v="3.2"/>
    <n v="4.5"/>
    <n v="1.5"/>
  </r>
  <r>
    <x v="1"/>
    <n v="6.9"/>
    <n v="3.1"/>
    <n v="4.9000000000000004"/>
    <n v="1.5"/>
  </r>
  <r>
    <x v="1"/>
    <n v="5.5"/>
    <n v="2.2999999999999998"/>
    <n v="4"/>
    <n v="1.3"/>
  </r>
  <r>
    <x v="1"/>
    <n v="6.5"/>
    <n v="2.8"/>
    <n v="4.5999999999999996"/>
    <n v="1.5"/>
  </r>
  <r>
    <x v="1"/>
    <n v="5.7"/>
    <n v="2.8"/>
    <n v="4.5"/>
    <n v="1.3"/>
  </r>
  <r>
    <x v="1"/>
    <n v="6.3"/>
    <n v="3.3"/>
    <n v="4.7"/>
    <n v="1.6"/>
  </r>
  <r>
    <x v="1"/>
    <n v="4.9000000000000004"/>
    <n v="2.4"/>
    <n v="3.3"/>
    <n v="1"/>
  </r>
  <r>
    <x v="1"/>
    <n v="6.6"/>
    <n v="2.9"/>
    <n v="4.5999999999999996"/>
    <n v="1.3"/>
  </r>
  <r>
    <x v="1"/>
    <n v="5.2"/>
    <n v="2.7"/>
    <n v="3.9"/>
    <n v="1.4"/>
  </r>
  <r>
    <x v="1"/>
    <n v="5"/>
    <n v="2"/>
    <n v="3.5"/>
    <n v="1"/>
  </r>
  <r>
    <x v="1"/>
    <n v="5.9"/>
    <n v="3"/>
    <n v="4.2"/>
    <n v="1.5"/>
  </r>
  <r>
    <x v="1"/>
    <n v="6"/>
    <n v="2.2000000000000002"/>
    <n v="4"/>
    <n v="1"/>
  </r>
  <r>
    <x v="1"/>
    <n v="6.1"/>
    <n v="2.9"/>
    <n v="4.7"/>
    <n v="1.4"/>
  </r>
  <r>
    <x v="1"/>
    <n v="5.6"/>
    <n v="2.9"/>
    <n v="3.6"/>
    <n v="1.3"/>
  </r>
  <r>
    <x v="1"/>
    <n v="6.7"/>
    <n v="3.1"/>
    <n v="4.4000000000000004"/>
    <n v="1.4"/>
  </r>
  <r>
    <x v="1"/>
    <n v="5.6"/>
    <n v="3"/>
    <n v="4.5"/>
    <n v="1.5"/>
  </r>
  <r>
    <x v="1"/>
    <n v="5.8"/>
    <n v="2.7"/>
    <n v="4.0999999999999996"/>
    <n v="1"/>
  </r>
  <r>
    <x v="1"/>
    <n v="6.2"/>
    <n v="2.2000000000000002"/>
    <n v="4.5"/>
    <n v="1.5"/>
  </r>
  <r>
    <x v="1"/>
    <n v="5.6"/>
    <n v="2.5"/>
    <n v="3.9"/>
    <n v="1.1000000000000001"/>
  </r>
  <r>
    <x v="1"/>
    <n v="5.9"/>
    <n v="3.2"/>
    <n v="4.8"/>
    <n v="1.8"/>
  </r>
  <r>
    <x v="1"/>
    <n v="6.1"/>
    <n v="2.8"/>
    <n v="4"/>
    <n v="1.3"/>
  </r>
  <r>
    <x v="1"/>
    <n v="6.3"/>
    <n v="2.5"/>
    <n v="4.9000000000000004"/>
    <n v="1.5"/>
  </r>
  <r>
    <x v="1"/>
    <n v="6.1"/>
    <n v="2.8"/>
    <n v="4.7"/>
    <n v="1.2"/>
  </r>
  <r>
    <x v="1"/>
    <n v="6.4"/>
    <n v="2.9"/>
    <n v="4.3"/>
    <n v="1.3"/>
  </r>
  <r>
    <x v="1"/>
    <n v="6.6"/>
    <n v="3"/>
    <n v="4.4000000000000004"/>
    <n v="1.4"/>
  </r>
  <r>
    <x v="1"/>
    <n v="6.8"/>
    <n v="2.8"/>
    <n v="4.8"/>
    <n v="1.4"/>
  </r>
  <r>
    <x v="1"/>
    <n v="6.7"/>
    <n v="3"/>
    <n v="5"/>
    <n v="1.7"/>
  </r>
  <r>
    <x v="1"/>
    <n v="6"/>
    <n v="2.9"/>
    <n v="4.5"/>
    <n v="1.5"/>
  </r>
  <r>
    <x v="1"/>
    <n v="5.7"/>
    <n v="2.6"/>
    <n v="3.5"/>
    <n v="1"/>
  </r>
  <r>
    <x v="1"/>
    <n v="5.5"/>
    <n v="2.4"/>
    <n v="3.8"/>
    <n v="1.1000000000000001"/>
  </r>
  <r>
    <x v="1"/>
    <n v="5.5"/>
    <n v="2.4"/>
    <n v="3.7"/>
    <n v="1"/>
  </r>
  <r>
    <x v="1"/>
    <n v="5.8"/>
    <n v="2.7"/>
    <n v="3.9"/>
    <n v="1.2"/>
  </r>
  <r>
    <x v="1"/>
    <n v="6"/>
    <n v="2.7"/>
    <n v="5.0999999999999996"/>
    <n v="1.6"/>
  </r>
  <r>
    <x v="1"/>
    <n v="5.4"/>
    <n v="3"/>
    <n v="4.5"/>
    <n v="1.5"/>
  </r>
  <r>
    <x v="1"/>
    <n v="6"/>
    <n v="3.4"/>
    <n v="4.5"/>
    <n v="1.6"/>
  </r>
  <r>
    <x v="1"/>
    <n v="6.7"/>
    <n v="3.1"/>
    <n v="4.7"/>
    <n v="1.5"/>
  </r>
  <r>
    <x v="1"/>
    <n v="6.3"/>
    <n v="2.2999999999999998"/>
    <n v="4.4000000000000004"/>
    <n v="1.3"/>
  </r>
  <r>
    <x v="1"/>
    <n v="5.6"/>
    <n v="3"/>
    <n v="4.0999999999999996"/>
    <n v="1.3"/>
  </r>
  <r>
    <x v="1"/>
    <n v="5.5"/>
    <n v="2.5"/>
    <n v="4"/>
    <n v="1.3"/>
  </r>
  <r>
    <x v="1"/>
    <n v="5.5"/>
    <n v="2.6"/>
    <n v="4.4000000000000004"/>
    <n v="1.2"/>
  </r>
  <r>
    <x v="1"/>
    <n v="6.1"/>
    <n v="3"/>
    <n v="4.5999999999999996"/>
    <n v="1.4"/>
  </r>
  <r>
    <x v="1"/>
    <n v="5.8"/>
    <n v="2.6"/>
    <n v="4"/>
    <n v="1.2"/>
  </r>
  <r>
    <x v="1"/>
    <n v="5"/>
    <n v="2.2999999999999998"/>
    <n v="3.3"/>
    <n v="1"/>
  </r>
  <r>
    <x v="1"/>
    <n v="5.6"/>
    <n v="2.7"/>
    <n v="4.2"/>
    <n v="1.3"/>
  </r>
  <r>
    <x v="1"/>
    <n v="5.7"/>
    <n v="3"/>
    <n v="4.2"/>
    <n v="1.2"/>
  </r>
  <r>
    <x v="1"/>
    <n v="5.7"/>
    <n v="2.9"/>
    <n v="4.2"/>
    <n v="1.3"/>
  </r>
  <r>
    <x v="1"/>
    <n v="6.2"/>
    <n v="2.9"/>
    <n v="4.3"/>
    <n v="1.3"/>
  </r>
  <r>
    <x v="1"/>
    <n v="5.0999999999999996"/>
    <n v="2.5"/>
    <n v="3"/>
    <n v="1.1000000000000001"/>
  </r>
  <r>
    <x v="1"/>
    <n v="5.7"/>
    <n v="2.8"/>
    <n v="4.0999999999999996"/>
    <n v="1.3"/>
  </r>
  <r>
    <x v="2"/>
    <n v="6.3"/>
    <n v="3.3"/>
    <n v="6"/>
    <n v="2.5"/>
  </r>
  <r>
    <x v="2"/>
    <n v="5.8"/>
    <n v="2.7"/>
    <n v="5.0999999999999996"/>
    <n v="1.9"/>
  </r>
  <r>
    <x v="2"/>
    <n v="7.1"/>
    <n v="3"/>
    <n v="5.9"/>
    <n v="2.1"/>
  </r>
  <r>
    <x v="2"/>
    <n v="6.3"/>
    <n v="2.9"/>
    <n v="5.6"/>
    <n v="1.8"/>
  </r>
  <r>
    <x v="2"/>
    <n v="6.5"/>
    <n v="3"/>
    <n v="5.8"/>
    <n v="2.2000000000000002"/>
  </r>
  <r>
    <x v="2"/>
    <n v="7.6"/>
    <n v="3"/>
    <n v="6.6"/>
    <n v="2.1"/>
  </r>
  <r>
    <x v="2"/>
    <n v="4.9000000000000004"/>
    <n v="2.5"/>
    <n v="4.5"/>
    <n v="1.7"/>
  </r>
  <r>
    <x v="2"/>
    <n v="7.3"/>
    <n v="2.9"/>
    <n v="6.3"/>
    <n v="1.8"/>
  </r>
  <r>
    <x v="2"/>
    <n v="6.7"/>
    <n v="2.5"/>
    <n v="5.8"/>
    <n v="1.8"/>
  </r>
  <r>
    <x v="2"/>
    <n v="7.2"/>
    <n v="3.6"/>
    <n v="6.1"/>
    <n v="2.5"/>
  </r>
  <r>
    <x v="2"/>
    <n v="6.5"/>
    <n v="3.2"/>
    <n v="5.0999999999999996"/>
    <n v="2"/>
  </r>
  <r>
    <x v="2"/>
    <n v="6.4"/>
    <n v="2.7"/>
    <n v="5.3"/>
    <n v="1.9"/>
  </r>
  <r>
    <x v="2"/>
    <n v="6.8"/>
    <n v="3"/>
    <n v="5.5"/>
    <n v="2.1"/>
  </r>
  <r>
    <x v="2"/>
    <n v="5.7"/>
    <n v="2.5"/>
    <n v="5"/>
    <n v="2"/>
  </r>
  <r>
    <x v="2"/>
    <n v="5.8"/>
    <n v="2.8"/>
    <n v="5.0999999999999996"/>
    <n v="2.4"/>
  </r>
  <r>
    <x v="2"/>
    <n v="6.4"/>
    <n v="3.2"/>
    <n v="5.3"/>
    <n v="2.2999999999999998"/>
  </r>
  <r>
    <x v="2"/>
    <n v="6.5"/>
    <n v="3"/>
    <n v="5.5"/>
    <n v="1.8"/>
  </r>
  <r>
    <x v="2"/>
    <n v="7.7"/>
    <n v="3.8"/>
    <n v="6.7"/>
    <n v="2.2000000000000002"/>
  </r>
  <r>
    <x v="2"/>
    <n v="7.7"/>
    <n v="2.6"/>
    <n v="6.9"/>
    <n v="2.2999999999999998"/>
  </r>
  <r>
    <x v="2"/>
    <n v="6"/>
    <n v="2.2000000000000002"/>
    <n v="5"/>
    <n v="1.5"/>
  </r>
  <r>
    <x v="2"/>
    <n v="6.9"/>
    <n v="3.2"/>
    <n v="5.7"/>
    <n v="2.2999999999999998"/>
  </r>
  <r>
    <x v="2"/>
    <n v="5.6"/>
    <n v="2.8"/>
    <n v="4.9000000000000004"/>
    <n v="2"/>
  </r>
  <r>
    <x v="2"/>
    <n v="7.7"/>
    <n v="2.8"/>
    <n v="6.7"/>
    <n v="2"/>
  </r>
  <r>
    <x v="2"/>
    <n v="6.3"/>
    <n v="2.7"/>
    <n v="4.9000000000000004"/>
    <n v="1.8"/>
  </r>
  <r>
    <x v="2"/>
    <n v="6.7"/>
    <n v="3.3"/>
    <n v="5.7"/>
    <n v="2.1"/>
  </r>
  <r>
    <x v="2"/>
    <n v="7.2"/>
    <n v="3.2"/>
    <n v="6"/>
    <n v="1.8"/>
  </r>
  <r>
    <x v="2"/>
    <n v="6.2"/>
    <n v="2.8"/>
    <n v="4.8"/>
    <n v="1.8"/>
  </r>
  <r>
    <x v="2"/>
    <n v="6.1"/>
    <n v="3"/>
    <n v="4.9000000000000004"/>
    <n v="1.8"/>
  </r>
  <r>
    <x v="2"/>
    <n v="6.4"/>
    <n v="2.8"/>
    <n v="5.6"/>
    <n v="2.1"/>
  </r>
  <r>
    <x v="2"/>
    <n v="7.2"/>
    <n v="3"/>
    <n v="5.8"/>
    <n v="1.6"/>
  </r>
  <r>
    <x v="2"/>
    <n v="7.4"/>
    <n v="2.8"/>
    <n v="6.1"/>
    <n v="1.9"/>
  </r>
  <r>
    <x v="2"/>
    <n v="7.9"/>
    <n v="3.8"/>
    <n v="6.4"/>
    <n v="2"/>
  </r>
  <r>
    <x v="2"/>
    <n v="6.4"/>
    <n v="2.8"/>
    <n v="5.6"/>
    <n v="2.2000000000000002"/>
  </r>
  <r>
    <x v="2"/>
    <n v="6.3"/>
    <n v="2.8"/>
    <n v="5.0999999999999996"/>
    <n v="1.5"/>
  </r>
  <r>
    <x v="2"/>
    <n v="6.1"/>
    <n v="2.6"/>
    <n v="5.6"/>
    <n v="1.4"/>
  </r>
  <r>
    <x v="2"/>
    <n v="7.7"/>
    <n v="3"/>
    <n v="6.1"/>
    <n v="2.2999999999999998"/>
  </r>
  <r>
    <x v="2"/>
    <n v="6.3"/>
    <n v="3.4"/>
    <n v="5.6"/>
    <n v="2.4"/>
  </r>
  <r>
    <x v="2"/>
    <n v="6.4"/>
    <n v="3.1"/>
    <n v="5.5"/>
    <n v="1.8"/>
  </r>
  <r>
    <x v="2"/>
    <n v="6"/>
    <n v="3"/>
    <n v="4.8"/>
    <n v="1.8"/>
  </r>
  <r>
    <x v="2"/>
    <n v="6.9"/>
    <n v="3.1"/>
    <n v="5.4"/>
    <n v="2.1"/>
  </r>
  <r>
    <x v="2"/>
    <n v="6.7"/>
    <n v="3.1"/>
    <n v="5.6"/>
    <n v="2.4"/>
  </r>
  <r>
    <x v="2"/>
    <n v="6.9"/>
    <n v="3.1"/>
    <n v="5.0999999999999996"/>
    <n v="2.2999999999999998"/>
  </r>
  <r>
    <x v="2"/>
    <n v="5.8"/>
    <n v="2.7"/>
    <n v="5.0999999999999996"/>
    <n v="1.9"/>
  </r>
  <r>
    <x v="2"/>
    <n v="6.8"/>
    <n v="3.2"/>
    <n v="5.9"/>
    <n v="2.2999999999999998"/>
  </r>
  <r>
    <x v="2"/>
    <n v="6.7"/>
    <n v="3.3"/>
    <n v="5.7"/>
    <n v="2.5"/>
  </r>
  <r>
    <x v="2"/>
    <n v="6.7"/>
    <n v="3"/>
    <n v="5.2"/>
    <n v="2.2999999999999998"/>
  </r>
  <r>
    <x v="2"/>
    <n v="6.3"/>
    <n v="2.5"/>
    <n v="5"/>
    <n v="1.9"/>
  </r>
  <r>
    <x v="2"/>
    <n v="6.5"/>
    <n v="3"/>
    <n v="5.2"/>
    <n v="2"/>
  </r>
  <r>
    <x v="2"/>
    <n v="6.2"/>
    <n v="3.4"/>
    <n v="5.4"/>
    <n v="2.2999999999999998"/>
  </r>
  <r>
    <x v="2"/>
    <n v="5.9"/>
    <n v="3"/>
    <n v="5.0999999999999996"/>
    <n v="1.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738F9-F8E3-4DD1-B8BD-48FFAD62346F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44:C48" firstHeaderRow="1" firstDataRow="1" firstDataCol="1"/>
  <pivotFields count="5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pecies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5F183-1A93-4F24-B0BA-0278AD4EC88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5:B29" firstHeaderRow="1" firstDataRow="1" firstDataCol="1"/>
  <pivotFields count="5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pecies" fld="0" subtotal="count" showDataAs="percentOfTotal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1DC24-CE8F-4693-A3D2-453CFB2984B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C18" firstHeaderRow="1" firstDataRow="1" firstDataCol="1"/>
  <pivotFields count="5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pecies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E031F-71D7-45D0-B7D9-43221C66A40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7" firstHeaderRow="1" firstDataRow="1" firstDataCol="1"/>
  <pivotFields count="5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peci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5A6DD-D3B4-4C8C-948B-E1CBC0637869}" name="PivotTable1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41:K45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riends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75E7E-1FC0-490D-B21A-6124606FBD4F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22:K26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riends" fld="0" subtotal="count" showDataAs="percentOfTotal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CC934-92C0-47B6-B500-B1F373BEC1D1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F17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riends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A580A-BA13-4F9C-9ECE-82DB1AE7A807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K8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riend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F7EEE-CF6D-466B-8E27-6665453CDC1F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5:B89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riend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24C0-BD84-4A5F-B0A3-5BA995896D65}">
  <sheetPr>
    <tabColor rgb="FF00B050"/>
  </sheetPr>
  <dimension ref="A1:G151"/>
  <sheetViews>
    <sheetView workbookViewId="0">
      <selection activeCell="D12" sqref="D12"/>
    </sheetView>
  </sheetViews>
  <sheetFormatPr defaultColWidth="11.33203125" defaultRowHeight="15.6"/>
  <cols>
    <col min="1" max="1" width="9.44140625" style="1" bestFit="1" customWidth="1"/>
    <col min="2" max="2" width="12.21875" style="1" bestFit="1" customWidth="1"/>
    <col min="3" max="3" width="11.77734375" style="1" bestFit="1" customWidth="1"/>
    <col min="4" max="4" width="12" style="1" bestFit="1" customWidth="1"/>
    <col min="5" max="16384" width="11.332031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1" t="s">
        <v>5</v>
      </c>
      <c r="B2" s="1">
        <v>5.0999999999999996</v>
      </c>
      <c r="C2" s="1">
        <v>3.5</v>
      </c>
      <c r="D2" s="1">
        <v>1.4</v>
      </c>
      <c r="E2" s="1">
        <v>0.2</v>
      </c>
    </row>
    <row r="3" spans="1:7" ht="28.8">
      <c r="A3" s="1" t="s">
        <v>5</v>
      </c>
      <c r="B3" s="1">
        <v>4.9000000000000004</v>
      </c>
      <c r="C3" s="1">
        <v>3</v>
      </c>
      <c r="D3" s="1">
        <v>1.4</v>
      </c>
      <c r="E3" s="1">
        <v>0.2</v>
      </c>
      <c r="G3" s="2" t="s">
        <v>6</v>
      </c>
    </row>
    <row r="4" spans="1:7">
      <c r="A4" s="1" t="s">
        <v>5</v>
      </c>
      <c r="B4" s="1">
        <v>4.7</v>
      </c>
      <c r="C4" s="1">
        <v>3.2</v>
      </c>
      <c r="D4" s="1">
        <v>1.3</v>
      </c>
      <c r="E4" s="1">
        <v>0.2</v>
      </c>
    </row>
    <row r="5" spans="1:7">
      <c r="A5" s="1" t="s">
        <v>5</v>
      </c>
      <c r="B5" s="1">
        <v>4.5999999999999996</v>
      </c>
      <c r="C5" s="1">
        <v>3.1</v>
      </c>
      <c r="D5" s="1">
        <v>1.5</v>
      </c>
      <c r="E5" s="1">
        <v>0.2</v>
      </c>
      <c r="G5" s="1" t="s">
        <v>7</v>
      </c>
    </row>
    <row r="6" spans="1:7">
      <c r="A6" s="1" t="s">
        <v>5</v>
      </c>
      <c r="B6" s="1">
        <v>5</v>
      </c>
      <c r="C6" s="1">
        <v>3.6</v>
      </c>
      <c r="D6" s="1">
        <v>1.4</v>
      </c>
      <c r="E6" s="1">
        <v>0.2</v>
      </c>
      <c r="G6" t="s">
        <v>8</v>
      </c>
    </row>
    <row r="7" spans="1:7">
      <c r="A7" s="1" t="s">
        <v>5</v>
      </c>
      <c r="B7" s="1">
        <v>5.4</v>
      </c>
      <c r="C7" s="1">
        <v>3.9</v>
      </c>
      <c r="D7" s="1">
        <v>1.7</v>
      </c>
      <c r="E7" s="1">
        <v>0.4</v>
      </c>
      <c r="G7" t="s">
        <v>9</v>
      </c>
    </row>
    <row r="8" spans="1:7">
      <c r="A8" s="1" t="s">
        <v>5</v>
      </c>
      <c r="B8" s="1">
        <v>4.5999999999999996</v>
      </c>
      <c r="C8" s="1">
        <v>3.4</v>
      </c>
      <c r="D8" s="1">
        <v>1.4</v>
      </c>
      <c r="E8" s="1">
        <v>0.3</v>
      </c>
      <c r="G8" t="s">
        <v>10</v>
      </c>
    </row>
    <row r="9" spans="1:7">
      <c r="A9" s="1" t="s">
        <v>5</v>
      </c>
      <c r="B9" s="1">
        <v>5</v>
      </c>
      <c r="C9" s="1">
        <v>3.4</v>
      </c>
      <c r="D9" s="1">
        <v>1.5</v>
      </c>
      <c r="E9" s="1">
        <v>0.2</v>
      </c>
    </row>
    <row r="10" spans="1:7">
      <c r="A10" s="1" t="s">
        <v>5</v>
      </c>
      <c r="B10" s="1">
        <v>4.4000000000000004</v>
      </c>
      <c r="C10" s="1">
        <v>2.9</v>
      </c>
      <c r="D10" s="1">
        <v>1.4</v>
      </c>
      <c r="E10" s="1">
        <v>0.2</v>
      </c>
    </row>
    <row r="11" spans="1:7">
      <c r="A11" s="1" t="s">
        <v>5</v>
      </c>
      <c r="B11" s="1">
        <v>4.9000000000000004</v>
      </c>
      <c r="C11" s="1">
        <v>3.1</v>
      </c>
      <c r="D11" s="1">
        <v>1.5</v>
      </c>
      <c r="E11" s="1">
        <v>0.1</v>
      </c>
    </row>
    <row r="12" spans="1:7">
      <c r="A12" s="1" t="s">
        <v>5</v>
      </c>
      <c r="B12" s="1">
        <v>5.4</v>
      </c>
      <c r="C12" s="1">
        <v>3.7</v>
      </c>
      <c r="D12" s="1">
        <v>1.5</v>
      </c>
      <c r="E12" s="1">
        <v>0.2</v>
      </c>
    </row>
    <row r="13" spans="1:7">
      <c r="A13" s="1" t="s">
        <v>5</v>
      </c>
      <c r="B13" s="1">
        <v>4.8</v>
      </c>
      <c r="C13" s="1">
        <v>3.4</v>
      </c>
      <c r="D13" s="1">
        <v>1.6</v>
      </c>
      <c r="E13" s="1">
        <v>0.2</v>
      </c>
    </row>
    <row r="14" spans="1:7">
      <c r="A14" s="1" t="s">
        <v>5</v>
      </c>
      <c r="B14" s="1">
        <v>4.8</v>
      </c>
      <c r="C14" s="1">
        <v>3</v>
      </c>
      <c r="D14" s="1">
        <v>1.4</v>
      </c>
      <c r="E14" s="1">
        <v>0.1</v>
      </c>
    </row>
    <row r="15" spans="1:7">
      <c r="A15" s="1" t="s">
        <v>5</v>
      </c>
      <c r="B15" s="1">
        <v>4.3</v>
      </c>
      <c r="C15" s="1">
        <v>3</v>
      </c>
      <c r="D15" s="1">
        <v>1.1000000000000001</v>
      </c>
      <c r="E15" s="1">
        <v>0.1</v>
      </c>
    </row>
    <row r="16" spans="1:7">
      <c r="A16" s="1" t="s">
        <v>5</v>
      </c>
      <c r="B16" s="1">
        <v>5.8</v>
      </c>
      <c r="C16" s="1">
        <v>4</v>
      </c>
      <c r="D16" s="1">
        <v>1.2</v>
      </c>
      <c r="E16" s="1">
        <v>0.2</v>
      </c>
    </row>
    <row r="17" spans="1:5">
      <c r="A17" s="1" t="s">
        <v>5</v>
      </c>
      <c r="B17" s="1">
        <v>5.7</v>
      </c>
      <c r="C17" s="1">
        <v>4.4000000000000004</v>
      </c>
      <c r="D17" s="1">
        <v>1.5</v>
      </c>
      <c r="E17" s="1">
        <v>0.4</v>
      </c>
    </row>
    <row r="18" spans="1:5">
      <c r="A18" s="1" t="s">
        <v>5</v>
      </c>
      <c r="B18" s="1">
        <v>5.4</v>
      </c>
      <c r="C18" s="1">
        <v>3.9</v>
      </c>
      <c r="D18" s="1">
        <v>1.3</v>
      </c>
      <c r="E18" s="1">
        <v>0.4</v>
      </c>
    </row>
    <row r="19" spans="1:5">
      <c r="A19" s="1" t="s">
        <v>5</v>
      </c>
      <c r="B19" s="1">
        <v>5.0999999999999996</v>
      </c>
      <c r="C19" s="1">
        <v>3.5</v>
      </c>
      <c r="D19" s="1">
        <v>1.4</v>
      </c>
      <c r="E19" s="1">
        <v>0.3</v>
      </c>
    </row>
    <row r="20" spans="1:5">
      <c r="A20" s="1" t="s">
        <v>5</v>
      </c>
      <c r="B20" s="1">
        <v>5.7</v>
      </c>
      <c r="C20" s="1">
        <v>3.8</v>
      </c>
      <c r="D20" s="1">
        <v>1.7</v>
      </c>
      <c r="E20" s="1">
        <v>0.3</v>
      </c>
    </row>
    <row r="21" spans="1:5">
      <c r="A21" s="1" t="s">
        <v>5</v>
      </c>
      <c r="B21" s="1">
        <v>5.0999999999999996</v>
      </c>
      <c r="C21" s="1">
        <v>3.8</v>
      </c>
      <c r="D21" s="1">
        <v>1.5</v>
      </c>
      <c r="E21" s="1">
        <v>0.3</v>
      </c>
    </row>
    <row r="22" spans="1:5">
      <c r="A22" s="1" t="s">
        <v>5</v>
      </c>
      <c r="B22" s="1">
        <v>5.4</v>
      </c>
      <c r="C22" s="1">
        <v>3.4</v>
      </c>
      <c r="D22" s="1">
        <v>1.7</v>
      </c>
      <c r="E22" s="1">
        <v>0.2</v>
      </c>
    </row>
    <row r="23" spans="1:5">
      <c r="A23" s="1" t="s">
        <v>5</v>
      </c>
      <c r="B23" s="1">
        <v>5.0999999999999996</v>
      </c>
      <c r="C23" s="1">
        <v>3.7</v>
      </c>
      <c r="D23" s="1">
        <v>1.5</v>
      </c>
      <c r="E23" s="1">
        <v>0.4</v>
      </c>
    </row>
    <row r="24" spans="1:5">
      <c r="A24" s="1" t="s">
        <v>5</v>
      </c>
      <c r="B24" s="1">
        <v>4.5999999999999996</v>
      </c>
      <c r="C24" s="1">
        <v>3.6</v>
      </c>
      <c r="D24" s="1">
        <v>1</v>
      </c>
      <c r="E24" s="1">
        <v>0.2</v>
      </c>
    </row>
    <row r="25" spans="1:5">
      <c r="A25" s="1" t="s">
        <v>5</v>
      </c>
      <c r="B25" s="1">
        <v>5.0999999999999996</v>
      </c>
      <c r="C25" s="1">
        <v>3.3</v>
      </c>
      <c r="D25" s="1">
        <v>1.7</v>
      </c>
      <c r="E25" s="1">
        <v>0.5</v>
      </c>
    </row>
    <row r="26" spans="1:5">
      <c r="A26" s="1" t="s">
        <v>5</v>
      </c>
      <c r="B26" s="1">
        <v>4.8</v>
      </c>
      <c r="C26" s="1">
        <v>3.4</v>
      </c>
      <c r="D26" s="1">
        <v>1.9</v>
      </c>
      <c r="E26" s="1">
        <v>0.2</v>
      </c>
    </row>
    <row r="27" spans="1:5">
      <c r="A27" s="1" t="s">
        <v>5</v>
      </c>
      <c r="B27" s="1">
        <v>5</v>
      </c>
      <c r="C27" s="1">
        <v>3</v>
      </c>
      <c r="D27" s="1">
        <v>1.6</v>
      </c>
      <c r="E27" s="1">
        <v>0.2</v>
      </c>
    </row>
    <row r="28" spans="1:5">
      <c r="A28" s="1" t="s">
        <v>5</v>
      </c>
      <c r="B28" s="1">
        <v>5</v>
      </c>
      <c r="C28" s="1">
        <v>3.4</v>
      </c>
      <c r="D28" s="1">
        <v>1.6</v>
      </c>
      <c r="E28" s="1">
        <v>0.4</v>
      </c>
    </row>
    <row r="29" spans="1:5">
      <c r="A29" s="1" t="s">
        <v>5</v>
      </c>
      <c r="B29" s="1">
        <v>5.2</v>
      </c>
      <c r="C29" s="1">
        <v>3.5</v>
      </c>
      <c r="D29" s="1">
        <v>1.5</v>
      </c>
      <c r="E29" s="1">
        <v>0.2</v>
      </c>
    </row>
    <row r="30" spans="1:5">
      <c r="A30" s="1" t="s">
        <v>5</v>
      </c>
      <c r="B30" s="1">
        <v>5.2</v>
      </c>
      <c r="C30" s="1">
        <v>3.4</v>
      </c>
      <c r="D30" s="1">
        <v>1.4</v>
      </c>
      <c r="E30" s="1">
        <v>0.2</v>
      </c>
    </row>
    <row r="31" spans="1:5">
      <c r="A31" s="1" t="s">
        <v>5</v>
      </c>
      <c r="B31" s="1">
        <v>4.7</v>
      </c>
      <c r="C31" s="1">
        <v>3.2</v>
      </c>
      <c r="D31" s="1">
        <v>1.6</v>
      </c>
      <c r="E31" s="1">
        <v>0.2</v>
      </c>
    </row>
    <row r="32" spans="1:5">
      <c r="A32" s="1" t="s">
        <v>5</v>
      </c>
      <c r="B32" s="1">
        <v>4.8</v>
      </c>
      <c r="C32" s="1">
        <v>3.1</v>
      </c>
      <c r="D32" s="1">
        <v>1.6</v>
      </c>
      <c r="E32" s="1">
        <v>0.2</v>
      </c>
    </row>
    <row r="33" spans="1:5">
      <c r="A33" s="1" t="s">
        <v>5</v>
      </c>
      <c r="B33" s="1">
        <v>5.4</v>
      </c>
      <c r="C33" s="1">
        <v>3.4</v>
      </c>
      <c r="D33" s="1">
        <v>1.5</v>
      </c>
      <c r="E33" s="1">
        <v>0.4</v>
      </c>
    </row>
    <row r="34" spans="1:5">
      <c r="A34" s="1" t="s">
        <v>5</v>
      </c>
      <c r="B34" s="1">
        <v>5.2</v>
      </c>
      <c r="C34" s="1">
        <v>4.0999999999999996</v>
      </c>
      <c r="D34" s="1">
        <v>1.5</v>
      </c>
      <c r="E34" s="1">
        <v>0.1</v>
      </c>
    </row>
    <row r="35" spans="1:5">
      <c r="A35" s="1" t="s">
        <v>5</v>
      </c>
      <c r="B35" s="1">
        <v>5.5</v>
      </c>
      <c r="C35" s="1">
        <v>4.2</v>
      </c>
      <c r="D35" s="1">
        <v>1.4</v>
      </c>
      <c r="E35" s="1">
        <v>0.2</v>
      </c>
    </row>
    <row r="36" spans="1:5">
      <c r="A36" s="1" t="s">
        <v>5</v>
      </c>
      <c r="B36" s="1">
        <v>4.9000000000000004</v>
      </c>
      <c r="C36" s="1">
        <v>3.1</v>
      </c>
      <c r="D36" s="1">
        <v>1.5</v>
      </c>
      <c r="E36" s="1">
        <v>0.2</v>
      </c>
    </row>
    <row r="37" spans="1:5">
      <c r="A37" s="1" t="s">
        <v>5</v>
      </c>
      <c r="B37" s="1">
        <v>5</v>
      </c>
      <c r="C37" s="1">
        <v>3.2</v>
      </c>
      <c r="D37" s="1">
        <v>1.2</v>
      </c>
      <c r="E37" s="1">
        <v>0.2</v>
      </c>
    </row>
    <row r="38" spans="1:5">
      <c r="A38" s="1" t="s">
        <v>5</v>
      </c>
      <c r="B38" s="1">
        <v>5.5</v>
      </c>
      <c r="C38" s="1">
        <v>3.5</v>
      </c>
      <c r="D38" s="1">
        <v>1.3</v>
      </c>
      <c r="E38" s="1">
        <v>0.2</v>
      </c>
    </row>
    <row r="39" spans="1:5">
      <c r="A39" s="1" t="s">
        <v>5</v>
      </c>
      <c r="B39" s="1">
        <v>4.9000000000000004</v>
      </c>
      <c r="C39" s="1">
        <v>3.6</v>
      </c>
      <c r="D39" s="1">
        <v>1.4</v>
      </c>
      <c r="E39" s="1">
        <v>0.1</v>
      </c>
    </row>
    <row r="40" spans="1:5">
      <c r="A40" s="1" t="s">
        <v>5</v>
      </c>
      <c r="B40" s="1">
        <v>4.4000000000000004</v>
      </c>
      <c r="C40" s="1">
        <v>3</v>
      </c>
      <c r="D40" s="1">
        <v>1.3</v>
      </c>
      <c r="E40" s="1">
        <v>0.2</v>
      </c>
    </row>
    <row r="41" spans="1:5">
      <c r="A41" s="1" t="s">
        <v>5</v>
      </c>
      <c r="B41" s="1">
        <v>5.0999999999999996</v>
      </c>
      <c r="C41" s="1">
        <v>3.4</v>
      </c>
      <c r="D41" s="1">
        <v>1.5</v>
      </c>
      <c r="E41" s="1">
        <v>0.2</v>
      </c>
    </row>
    <row r="42" spans="1:5">
      <c r="A42" s="1" t="s">
        <v>5</v>
      </c>
      <c r="B42" s="1">
        <v>5</v>
      </c>
      <c r="C42" s="1">
        <v>3.5</v>
      </c>
      <c r="D42" s="1">
        <v>1.3</v>
      </c>
      <c r="E42" s="1">
        <v>0.3</v>
      </c>
    </row>
    <row r="43" spans="1:5">
      <c r="A43" s="1" t="s">
        <v>5</v>
      </c>
      <c r="B43" s="1">
        <v>4.5</v>
      </c>
      <c r="C43" s="1">
        <v>2.2999999999999998</v>
      </c>
      <c r="D43" s="1">
        <v>1.3</v>
      </c>
      <c r="E43" s="1">
        <v>0.3</v>
      </c>
    </row>
    <row r="44" spans="1:5">
      <c r="A44" s="1" t="s">
        <v>5</v>
      </c>
      <c r="B44" s="1">
        <v>4.4000000000000004</v>
      </c>
      <c r="C44" s="1">
        <v>3.2</v>
      </c>
      <c r="D44" s="1">
        <v>1.3</v>
      </c>
      <c r="E44" s="1">
        <v>0.2</v>
      </c>
    </row>
    <row r="45" spans="1:5">
      <c r="A45" s="1" t="s">
        <v>5</v>
      </c>
      <c r="B45" s="1">
        <v>5</v>
      </c>
      <c r="C45" s="1">
        <v>3.5</v>
      </c>
      <c r="D45" s="1">
        <v>1.6</v>
      </c>
      <c r="E45" s="1">
        <v>0.6</v>
      </c>
    </row>
    <row r="46" spans="1:5">
      <c r="A46" s="1" t="s">
        <v>5</v>
      </c>
      <c r="B46" s="1">
        <v>5.0999999999999996</v>
      </c>
      <c r="C46" s="1">
        <v>3.8</v>
      </c>
      <c r="D46" s="1">
        <v>1.9</v>
      </c>
      <c r="E46" s="1">
        <v>0.4</v>
      </c>
    </row>
    <row r="47" spans="1:5">
      <c r="A47" s="1" t="s">
        <v>5</v>
      </c>
      <c r="B47" s="1">
        <v>4.8</v>
      </c>
      <c r="C47" s="1">
        <v>3</v>
      </c>
      <c r="D47" s="1">
        <v>1.4</v>
      </c>
      <c r="E47" s="1">
        <v>0.3</v>
      </c>
    </row>
    <row r="48" spans="1:5">
      <c r="A48" s="1" t="s">
        <v>5</v>
      </c>
      <c r="B48" s="1">
        <v>5.0999999999999996</v>
      </c>
      <c r="C48" s="1">
        <v>3.8</v>
      </c>
      <c r="D48" s="1">
        <v>1.6</v>
      </c>
      <c r="E48" s="1">
        <v>0.2</v>
      </c>
    </row>
    <row r="49" spans="1:5">
      <c r="A49" s="1" t="s">
        <v>5</v>
      </c>
      <c r="B49" s="1">
        <v>4.5999999999999996</v>
      </c>
      <c r="C49" s="1">
        <v>3.2</v>
      </c>
      <c r="D49" s="1">
        <v>1.4</v>
      </c>
      <c r="E49" s="1">
        <v>0.2</v>
      </c>
    </row>
    <row r="50" spans="1:5">
      <c r="A50" s="1" t="s">
        <v>5</v>
      </c>
      <c r="B50" s="1">
        <v>5.3</v>
      </c>
      <c r="C50" s="1">
        <v>3.7</v>
      </c>
      <c r="D50" s="1">
        <v>1.5</v>
      </c>
      <c r="E50" s="1">
        <v>0.2</v>
      </c>
    </row>
    <row r="51" spans="1:5">
      <c r="A51" s="1" t="s">
        <v>5</v>
      </c>
      <c r="B51" s="1">
        <v>5</v>
      </c>
      <c r="C51" s="1">
        <v>3.3</v>
      </c>
      <c r="D51" s="1">
        <v>1.4</v>
      </c>
      <c r="E51" s="1">
        <v>0.2</v>
      </c>
    </row>
    <row r="52" spans="1:5">
      <c r="A52" s="1" t="s">
        <v>11</v>
      </c>
      <c r="B52" s="1">
        <v>7</v>
      </c>
      <c r="C52" s="1">
        <v>3.2</v>
      </c>
      <c r="D52" s="1">
        <v>4.7</v>
      </c>
      <c r="E52" s="1">
        <v>1.4</v>
      </c>
    </row>
    <row r="53" spans="1:5">
      <c r="A53" s="1" t="s">
        <v>11</v>
      </c>
      <c r="B53" s="1">
        <v>6.4</v>
      </c>
      <c r="C53" s="1">
        <v>3.2</v>
      </c>
      <c r="D53" s="1">
        <v>4.5</v>
      </c>
      <c r="E53" s="1">
        <v>1.5</v>
      </c>
    </row>
    <row r="54" spans="1:5">
      <c r="A54" s="1" t="s">
        <v>11</v>
      </c>
      <c r="B54" s="1">
        <v>6.9</v>
      </c>
      <c r="C54" s="1">
        <v>3.1</v>
      </c>
      <c r="D54" s="1">
        <v>4.9000000000000004</v>
      </c>
      <c r="E54" s="1">
        <v>1.5</v>
      </c>
    </row>
    <row r="55" spans="1:5">
      <c r="A55" s="1" t="s">
        <v>11</v>
      </c>
      <c r="B55" s="1">
        <v>5.5</v>
      </c>
      <c r="C55" s="1">
        <v>2.2999999999999998</v>
      </c>
      <c r="D55" s="1">
        <v>4</v>
      </c>
      <c r="E55" s="1">
        <v>1.3</v>
      </c>
    </row>
    <row r="56" spans="1:5">
      <c r="A56" s="1" t="s">
        <v>11</v>
      </c>
      <c r="B56" s="1">
        <v>6.5</v>
      </c>
      <c r="C56" s="1">
        <v>2.8</v>
      </c>
      <c r="D56" s="1">
        <v>4.5999999999999996</v>
      </c>
      <c r="E56" s="1">
        <v>1.5</v>
      </c>
    </row>
    <row r="57" spans="1:5">
      <c r="A57" s="1" t="s">
        <v>11</v>
      </c>
      <c r="B57" s="1">
        <v>5.7</v>
      </c>
      <c r="C57" s="1">
        <v>2.8</v>
      </c>
      <c r="D57" s="1">
        <v>4.5</v>
      </c>
      <c r="E57" s="1">
        <v>1.3</v>
      </c>
    </row>
    <row r="58" spans="1:5">
      <c r="A58" s="1" t="s">
        <v>11</v>
      </c>
      <c r="B58" s="1">
        <v>6.3</v>
      </c>
      <c r="C58" s="1">
        <v>3.3</v>
      </c>
      <c r="D58" s="1">
        <v>4.7</v>
      </c>
      <c r="E58" s="1">
        <v>1.6</v>
      </c>
    </row>
    <row r="59" spans="1:5">
      <c r="A59" s="1" t="s">
        <v>11</v>
      </c>
      <c r="B59" s="1">
        <v>4.9000000000000004</v>
      </c>
      <c r="C59" s="1">
        <v>2.4</v>
      </c>
      <c r="D59" s="1">
        <v>3.3</v>
      </c>
      <c r="E59" s="1">
        <v>1</v>
      </c>
    </row>
    <row r="60" spans="1:5">
      <c r="A60" s="1" t="s">
        <v>11</v>
      </c>
      <c r="B60" s="1">
        <v>6.6</v>
      </c>
      <c r="C60" s="1">
        <v>2.9</v>
      </c>
      <c r="D60" s="1">
        <v>4.5999999999999996</v>
      </c>
      <c r="E60" s="1">
        <v>1.3</v>
      </c>
    </row>
    <row r="61" spans="1:5">
      <c r="A61" s="1" t="s">
        <v>11</v>
      </c>
      <c r="B61" s="1">
        <v>5.2</v>
      </c>
      <c r="C61" s="1">
        <v>2.7</v>
      </c>
      <c r="D61" s="1">
        <v>3.9</v>
      </c>
      <c r="E61" s="1">
        <v>1.4</v>
      </c>
    </row>
    <row r="62" spans="1:5">
      <c r="A62" s="1" t="s">
        <v>11</v>
      </c>
      <c r="B62" s="1">
        <v>5</v>
      </c>
      <c r="C62" s="1">
        <v>2</v>
      </c>
      <c r="D62" s="1">
        <v>3.5</v>
      </c>
      <c r="E62" s="1">
        <v>1</v>
      </c>
    </row>
    <row r="63" spans="1:5">
      <c r="A63" s="1" t="s">
        <v>11</v>
      </c>
      <c r="B63" s="1">
        <v>5.9</v>
      </c>
      <c r="C63" s="1">
        <v>3</v>
      </c>
      <c r="D63" s="1">
        <v>4.2</v>
      </c>
      <c r="E63" s="1">
        <v>1.5</v>
      </c>
    </row>
    <row r="64" spans="1:5">
      <c r="A64" s="1" t="s">
        <v>11</v>
      </c>
      <c r="B64" s="1">
        <v>6</v>
      </c>
      <c r="C64" s="1">
        <v>2.2000000000000002</v>
      </c>
      <c r="D64" s="1">
        <v>4</v>
      </c>
      <c r="E64" s="1">
        <v>1</v>
      </c>
    </row>
    <row r="65" spans="1:5">
      <c r="A65" s="1" t="s">
        <v>11</v>
      </c>
      <c r="B65" s="1">
        <v>6.1</v>
      </c>
      <c r="C65" s="1">
        <v>2.9</v>
      </c>
      <c r="D65" s="1">
        <v>4.7</v>
      </c>
      <c r="E65" s="1">
        <v>1.4</v>
      </c>
    </row>
    <row r="66" spans="1:5">
      <c r="A66" s="1" t="s">
        <v>11</v>
      </c>
      <c r="B66" s="1">
        <v>5.6</v>
      </c>
      <c r="C66" s="1">
        <v>2.9</v>
      </c>
      <c r="D66" s="1">
        <v>3.6</v>
      </c>
      <c r="E66" s="1">
        <v>1.3</v>
      </c>
    </row>
    <row r="67" spans="1:5">
      <c r="A67" s="1" t="s">
        <v>11</v>
      </c>
      <c r="B67" s="1">
        <v>6.7</v>
      </c>
      <c r="C67" s="1">
        <v>3.1</v>
      </c>
      <c r="D67" s="1">
        <v>4.4000000000000004</v>
      </c>
      <c r="E67" s="1">
        <v>1.4</v>
      </c>
    </row>
    <row r="68" spans="1:5">
      <c r="A68" s="1" t="s">
        <v>11</v>
      </c>
      <c r="B68" s="1">
        <v>5.6</v>
      </c>
      <c r="C68" s="1">
        <v>3</v>
      </c>
      <c r="D68" s="1">
        <v>4.5</v>
      </c>
      <c r="E68" s="1">
        <v>1.5</v>
      </c>
    </row>
    <row r="69" spans="1:5">
      <c r="A69" s="1" t="s">
        <v>11</v>
      </c>
      <c r="B69" s="1">
        <v>5.8</v>
      </c>
      <c r="C69" s="1">
        <v>2.7</v>
      </c>
      <c r="D69" s="1">
        <v>4.0999999999999996</v>
      </c>
      <c r="E69" s="1">
        <v>1</v>
      </c>
    </row>
    <row r="70" spans="1:5">
      <c r="A70" s="1" t="s">
        <v>11</v>
      </c>
      <c r="B70" s="1">
        <v>6.2</v>
      </c>
      <c r="C70" s="1">
        <v>2.2000000000000002</v>
      </c>
      <c r="D70" s="1">
        <v>4.5</v>
      </c>
      <c r="E70" s="1">
        <v>1.5</v>
      </c>
    </row>
    <row r="71" spans="1:5">
      <c r="A71" s="1" t="s">
        <v>11</v>
      </c>
      <c r="B71" s="1">
        <v>5.6</v>
      </c>
      <c r="C71" s="1">
        <v>2.5</v>
      </c>
      <c r="D71" s="1">
        <v>3.9</v>
      </c>
      <c r="E71" s="1">
        <v>1.1000000000000001</v>
      </c>
    </row>
    <row r="72" spans="1:5">
      <c r="A72" s="1" t="s">
        <v>11</v>
      </c>
      <c r="B72" s="1">
        <v>5.9</v>
      </c>
      <c r="C72" s="1">
        <v>3.2</v>
      </c>
      <c r="D72" s="1">
        <v>4.8</v>
      </c>
      <c r="E72" s="1">
        <v>1.8</v>
      </c>
    </row>
    <row r="73" spans="1:5">
      <c r="A73" s="1" t="s">
        <v>11</v>
      </c>
      <c r="B73" s="1">
        <v>6.1</v>
      </c>
      <c r="C73" s="1">
        <v>2.8</v>
      </c>
      <c r="D73" s="1">
        <v>4</v>
      </c>
      <c r="E73" s="1">
        <v>1.3</v>
      </c>
    </row>
    <row r="74" spans="1:5">
      <c r="A74" s="1" t="s">
        <v>11</v>
      </c>
      <c r="B74" s="1">
        <v>6.3</v>
      </c>
      <c r="C74" s="1">
        <v>2.5</v>
      </c>
      <c r="D74" s="1">
        <v>4.9000000000000004</v>
      </c>
      <c r="E74" s="1">
        <v>1.5</v>
      </c>
    </row>
    <row r="75" spans="1:5">
      <c r="A75" s="1" t="s">
        <v>11</v>
      </c>
      <c r="B75" s="1">
        <v>6.1</v>
      </c>
      <c r="C75" s="1">
        <v>2.8</v>
      </c>
      <c r="D75" s="1">
        <v>4.7</v>
      </c>
      <c r="E75" s="1">
        <v>1.2</v>
      </c>
    </row>
    <row r="76" spans="1:5">
      <c r="A76" s="1" t="s">
        <v>11</v>
      </c>
      <c r="B76" s="1">
        <v>6.4</v>
      </c>
      <c r="C76" s="1">
        <v>2.9</v>
      </c>
      <c r="D76" s="1">
        <v>4.3</v>
      </c>
      <c r="E76" s="1">
        <v>1.3</v>
      </c>
    </row>
    <row r="77" spans="1:5">
      <c r="A77" s="1" t="s">
        <v>11</v>
      </c>
      <c r="B77" s="1">
        <v>6.6</v>
      </c>
      <c r="C77" s="1">
        <v>3</v>
      </c>
      <c r="D77" s="1">
        <v>4.4000000000000004</v>
      </c>
      <c r="E77" s="1">
        <v>1.4</v>
      </c>
    </row>
    <row r="78" spans="1:5">
      <c r="A78" s="1" t="s">
        <v>11</v>
      </c>
      <c r="B78" s="1">
        <v>6.8</v>
      </c>
      <c r="C78" s="1">
        <v>2.8</v>
      </c>
      <c r="D78" s="1">
        <v>4.8</v>
      </c>
      <c r="E78" s="1">
        <v>1.4</v>
      </c>
    </row>
    <row r="79" spans="1:5">
      <c r="A79" s="1" t="s">
        <v>11</v>
      </c>
      <c r="B79" s="1">
        <v>6.7</v>
      </c>
      <c r="C79" s="1">
        <v>3</v>
      </c>
      <c r="D79" s="1">
        <v>5</v>
      </c>
      <c r="E79" s="1">
        <v>1.7</v>
      </c>
    </row>
    <row r="80" spans="1:5">
      <c r="A80" s="1" t="s">
        <v>11</v>
      </c>
      <c r="B80" s="1">
        <v>6</v>
      </c>
      <c r="C80" s="1">
        <v>2.9</v>
      </c>
      <c r="D80" s="1">
        <v>4.5</v>
      </c>
      <c r="E80" s="1">
        <v>1.5</v>
      </c>
    </row>
    <row r="81" spans="1:5">
      <c r="A81" s="1" t="s">
        <v>11</v>
      </c>
      <c r="B81" s="1">
        <v>5.7</v>
      </c>
      <c r="C81" s="1">
        <v>2.6</v>
      </c>
      <c r="D81" s="1">
        <v>3.5</v>
      </c>
      <c r="E81" s="1">
        <v>1</v>
      </c>
    </row>
    <row r="82" spans="1:5">
      <c r="A82" s="1" t="s">
        <v>11</v>
      </c>
      <c r="B82" s="1">
        <v>5.5</v>
      </c>
      <c r="C82" s="1">
        <v>2.4</v>
      </c>
      <c r="D82" s="1">
        <v>3.8</v>
      </c>
      <c r="E82" s="1">
        <v>1.1000000000000001</v>
      </c>
    </row>
    <row r="83" spans="1:5">
      <c r="A83" s="1" t="s">
        <v>11</v>
      </c>
      <c r="B83" s="1">
        <v>5.5</v>
      </c>
      <c r="C83" s="1">
        <v>2.4</v>
      </c>
      <c r="D83" s="1">
        <v>3.7</v>
      </c>
      <c r="E83" s="1">
        <v>1</v>
      </c>
    </row>
    <row r="84" spans="1:5">
      <c r="A84" s="1" t="s">
        <v>11</v>
      </c>
      <c r="B84" s="1">
        <v>5.8</v>
      </c>
      <c r="C84" s="1">
        <v>2.7</v>
      </c>
      <c r="D84" s="1">
        <v>3.9</v>
      </c>
      <c r="E84" s="1">
        <v>1.2</v>
      </c>
    </row>
    <row r="85" spans="1:5">
      <c r="A85" s="1" t="s">
        <v>11</v>
      </c>
      <c r="B85" s="1">
        <v>6</v>
      </c>
      <c r="C85" s="1">
        <v>2.7</v>
      </c>
      <c r="D85" s="1">
        <v>5.0999999999999996</v>
      </c>
      <c r="E85" s="1">
        <v>1.6</v>
      </c>
    </row>
    <row r="86" spans="1:5">
      <c r="A86" s="1" t="s">
        <v>11</v>
      </c>
      <c r="B86" s="1">
        <v>5.4</v>
      </c>
      <c r="C86" s="1">
        <v>3</v>
      </c>
      <c r="D86" s="1">
        <v>4.5</v>
      </c>
      <c r="E86" s="1">
        <v>1.5</v>
      </c>
    </row>
    <row r="87" spans="1:5">
      <c r="A87" s="1" t="s">
        <v>11</v>
      </c>
      <c r="B87" s="1">
        <v>6</v>
      </c>
      <c r="C87" s="1">
        <v>3.4</v>
      </c>
      <c r="D87" s="1">
        <v>4.5</v>
      </c>
      <c r="E87" s="1">
        <v>1.6</v>
      </c>
    </row>
    <row r="88" spans="1:5">
      <c r="A88" s="1" t="s">
        <v>11</v>
      </c>
      <c r="B88" s="1">
        <v>6.7</v>
      </c>
      <c r="C88" s="1">
        <v>3.1</v>
      </c>
      <c r="D88" s="1">
        <v>4.7</v>
      </c>
      <c r="E88" s="1">
        <v>1.5</v>
      </c>
    </row>
    <row r="89" spans="1:5">
      <c r="A89" s="1" t="s">
        <v>11</v>
      </c>
      <c r="B89" s="1">
        <v>6.3</v>
      </c>
      <c r="C89" s="1">
        <v>2.2999999999999998</v>
      </c>
      <c r="D89" s="1">
        <v>4.4000000000000004</v>
      </c>
      <c r="E89" s="1">
        <v>1.3</v>
      </c>
    </row>
    <row r="90" spans="1:5">
      <c r="A90" s="1" t="s">
        <v>11</v>
      </c>
      <c r="B90" s="1">
        <v>5.6</v>
      </c>
      <c r="C90" s="1">
        <v>3</v>
      </c>
      <c r="D90" s="1">
        <v>4.0999999999999996</v>
      </c>
      <c r="E90" s="1">
        <v>1.3</v>
      </c>
    </row>
    <row r="91" spans="1:5">
      <c r="A91" s="1" t="s">
        <v>11</v>
      </c>
      <c r="B91" s="1">
        <v>5.5</v>
      </c>
      <c r="C91" s="1">
        <v>2.5</v>
      </c>
      <c r="D91" s="1">
        <v>4</v>
      </c>
      <c r="E91" s="1">
        <v>1.3</v>
      </c>
    </row>
    <row r="92" spans="1:5">
      <c r="A92" s="1" t="s">
        <v>11</v>
      </c>
      <c r="B92" s="1">
        <v>5.5</v>
      </c>
      <c r="C92" s="1">
        <v>2.6</v>
      </c>
      <c r="D92" s="1">
        <v>4.4000000000000004</v>
      </c>
      <c r="E92" s="1">
        <v>1.2</v>
      </c>
    </row>
    <row r="93" spans="1:5">
      <c r="A93" s="1" t="s">
        <v>11</v>
      </c>
      <c r="B93" s="1">
        <v>6.1</v>
      </c>
      <c r="C93" s="1">
        <v>3</v>
      </c>
      <c r="D93" s="1">
        <v>4.5999999999999996</v>
      </c>
      <c r="E93" s="1">
        <v>1.4</v>
      </c>
    </row>
    <row r="94" spans="1:5">
      <c r="A94" s="1" t="s">
        <v>11</v>
      </c>
      <c r="B94" s="1">
        <v>5.8</v>
      </c>
      <c r="C94" s="1">
        <v>2.6</v>
      </c>
      <c r="D94" s="1">
        <v>4</v>
      </c>
      <c r="E94" s="1">
        <v>1.2</v>
      </c>
    </row>
    <row r="95" spans="1:5">
      <c r="A95" s="1" t="s">
        <v>11</v>
      </c>
      <c r="B95" s="1">
        <v>5</v>
      </c>
      <c r="C95" s="1">
        <v>2.2999999999999998</v>
      </c>
      <c r="D95" s="1">
        <v>3.3</v>
      </c>
      <c r="E95" s="1">
        <v>1</v>
      </c>
    </row>
    <row r="96" spans="1:5">
      <c r="A96" s="1" t="s">
        <v>11</v>
      </c>
      <c r="B96" s="1">
        <v>5.6</v>
      </c>
      <c r="C96" s="1">
        <v>2.7</v>
      </c>
      <c r="D96" s="1">
        <v>4.2</v>
      </c>
      <c r="E96" s="1">
        <v>1.3</v>
      </c>
    </row>
    <row r="97" spans="1:5">
      <c r="A97" s="1" t="s">
        <v>11</v>
      </c>
      <c r="B97" s="1">
        <v>5.7</v>
      </c>
      <c r="C97" s="1">
        <v>3</v>
      </c>
      <c r="D97" s="1">
        <v>4.2</v>
      </c>
      <c r="E97" s="1">
        <v>1.2</v>
      </c>
    </row>
    <row r="98" spans="1:5">
      <c r="A98" s="1" t="s">
        <v>11</v>
      </c>
      <c r="B98" s="1">
        <v>5.7</v>
      </c>
      <c r="C98" s="1">
        <v>2.9</v>
      </c>
      <c r="D98" s="1">
        <v>4.2</v>
      </c>
      <c r="E98" s="1">
        <v>1.3</v>
      </c>
    </row>
    <row r="99" spans="1:5">
      <c r="A99" s="1" t="s">
        <v>11</v>
      </c>
      <c r="B99" s="1">
        <v>6.2</v>
      </c>
      <c r="C99" s="1">
        <v>2.9</v>
      </c>
      <c r="D99" s="1">
        <v>4.3</v>
      </c>
      <c r="E99" s="1">
        <v>1.3</v>
      </c>
    </row>
    <row r="100" spans="1:5">
      <c r="A100" s="1" t="s">
        <v>11</v>
      </c>
      <c r="B100" s="1">
        <v>5.0999999999999996</v>
      </c>
      <c r="C100" s="1">
        <v>2.5</v>
      </c>
      <c r="D100" s="1">
        <v>3</v>
      </c>
      <c r="E100" s="1">
        <v>1.1000000000000001</v>
      </c>
    </row>
    <row r="101" spans="1:5">
      <c r="A101" s="1" t="s">
        <v>11</v>
      </c>
      <c r="B101" s="1">
        <v>5.7</v>
      </c>
      <c r="C101" s="1">
        <v>2.8</v>
      </c>
      <c r="D101" s="1">
        <v>4.0999999999999996</v>
      </c>
      <c r="E101" s="1">
        <v>1.3</v>
      </c>
    </row>
    <row r="102" spans="1:5">
      <c r="A102" s="1" t="s">
        <v>12</v>
      </c>
      <c r="B102" s="1">
        <v>6.3</v>
      </c>
      <c r="C102" s="1">
        <v>3.3</v>
      </c>
      <c r="D102" s="1">
        <v>6</v>
      </c>
      <c r="E102" s="1">
        <v>2.5</v>
      </c>
    </row>
    <row r="103" spans="1:5">
      <c r="A103" s="1" t="s">
        <v>12</v>
      </c>
      <c r="B103" s="1">
        <v>5.8</v>
      </c>
      <c r="C103" s="1">
        <v>2.7</v>
      </c>
      <c r="D103" s="1">
        <v>5.0999999999999996</v>
      </c>
      <c r="E103" s="1">
        <v>1.9</v>
      </c>
    </row>
    <row r="104" spans="1:5">
      <c r="A104" s="1" t="s">
        <v>12</v>
      </c>
      <c r="B104" s="1">
        <v>7.1</v>
      </c>
      <c r="C104" s="1">
        <v>3</v>
      </c>
      <c r="D104" s="1">
        <v>5.9</v>
      </c>
      <c r="E104" s="1">
        <v>2.1</v>
      </c>
    </row>
    <row r="105" spans="1:5">
      <c r="A105" s="1" t="s">
        <v>12</v>
      </c>
      <c r="B105" s="1">
        <v>6.3</v>
      </c>
      <c r="C105" s="1">
        <v>2.9</v>
      </c>
      <c r="D105" s="1">
        <v>5.6</v>
      </c>
      <c r="E105" s="1">
        <v>1.8</v>
      </c>
    </row>
    <row r="106" spans="1:5">
      <c r="A106" s="1" t="s">
        <v>12</v>
      </c>
      <c r="B106" s="1">
        <v>6.5</v>
      </c>
      <c r="C106" s="1">
        <v>3</v>
      </c>
      <c r="D106" s="1">
        <v>5.8</v>
      </c>
      <c r="E106" s="1">
        <v>2.2000000000000002</v>
      </c>
    </row>
    <row r="107" spans="1:5">
      <c r="A107" s="1" t="s">
        <v>12</v>
      </c>
      <c r="B107" s="1">
        <v>7.6</v>
      </c>
      <c r="C107" s="1">
        <v>3</v>
      </c>
      <c r="D107" s="1">
        <v>6.6</v>
      </c>
      <c r="E107" s="1">
        <v>2.1</v>
      </c>
    </row>
    <row r="108" spans="1:5">
      <c r="A108" s="1" t="s">
        <v>12</v>
      </c>
      <c r="B108" s="1">
        <v>4.9000000000000004</v>
      </c>
      <c r="C108" s="1">
        <v>2.5</v>
      </c>
      <c r="D108" s="1">
        <v>4.5</v>
      </c>
      <c r="E108" s="1">
        <v>1.7</v>
      </c>
    </row>
    <row r="109" spans="1:5">
      <c r="A109" s="1" t="s">
        <v>12</v>
      </c>
      <c r="B109" s="1">
        <v>7.3</v>
      </c>
      <c r="C109" s="1">
        <v>2.9</v>
      </c>
      <c r="D109" s="1">
        <v>6.3</v>
      </c>
      <c r="E109" s="1">
        <v>1.8</v>
      </c>
    </row>
    <row r="110" spans="1:5">
      <c r="A110" s="1" t="s">
        <v>12</v>
      </c>
      <c r="B110" s="1">
        <v>6.7</v>
      </c>
      <c r="C110" s="1">
        <v>2.5</v>
      </c>
      <c r="D110" s="1">
        <v>5.8</v>
      </c>
      <c r="E110" s="1">
        <v>1.8</v>
      </c>
    </row>
    <row r="111" spans="1:5">
      <c r="A111" s="1" t="s">
        <v>12</v>
      </c>
      <c r="B111" s="1">
        <v>7.2</v>
      </c>
      <c r="C111" s="1">
        <v>3.6</v>
      </c>
      <c r="D111" s="1">
        <v>6.1</v>
      </c>
      <c r="E111" s="1">
        <v>2.5</v>
      </c>
    </row>
    <row r="112" spans="1:5">
      <c r="A112" s="1" t="s">
        <v>12</v>
      </c>
      <c r="B112" s="1">
        <v>6.5</v>
      </c>
      <c r="C112" s="1">
        <v>3.2</v>
      </c>
      <c r="D112" s="1">
        <v>5.0999999999999996</v>
      </c>
      <c r="E112" s="1">
        <v>2</v>
      </c>
    </row>
    <row r="113" spans="1:5">
      <c r="A113" s="1" t="s">
        <v>12</v>
      </c>
      <c r="B113" s="1">
        <v>6.4</v>
      </c>
      <c r="C113" s="1">
        <v>2.7</v>
      </c>
      <c r="D113" s="1">
        <v>5.3</v>
      </c>
      <c r="E113" s="1">
        <v>1.9</v>
      </c>
    </row>
    <row r="114" spans="1:5">
      <c r="A114" s="1" t="s">
        <v>12</v>
      </c>
      <c r="B114" s="1">
        <v>6.8</v>
      </c>
      <c r="C114" s="1">
        <v>3</v>
      </c>
      <c r="D114" s="1">
        <v>5.5</v>
      </c>
      <c r="E114" s="1">
        <v>2.1</v>
      </c>
    </row>
    <row r="115" spans="1:5">
      <c r="A115" s="1" t="s">
        <v>12</v>
      </c>
      <c r="B115" s="1">
        <v>5.7</v>
      </c>
      <c r="C115" s="1">
        <v>2.5</v>
      </c>
      <c r="D115" s="1">
        <v>5</v>
      </c>
      <c r="E115" s="1">
        <v>2</v>
      </c>
    </row>
    <row r="116" spans="1:5">
      <c r="A116" s="1" t="s">
        <v>12</v>
      </c>
      <c r="B116" s="1">
        <v>5.8</v>
      </c>
      <c r="C116" s="1">
        <v>2.8</v>
      </c>
      <c r="D116" s="1">
        <v>5.0999999999999996</v>
      </c>
      <c r="E116" s="1">
        <v>2.4</v>
      </c>
    </row>
    <row r="117" spans="1:5">
      <c r="A117" s="1" t="s">
        <v>12</v>
      </c>
      <c r="B117" s="1">
        <v>6.4</v>
      </c>
      <c r="C117" s="1">
        <v>3.2</v>
      </c>
      <c r="D117" s="1">
        <v>5.3</v>
      </c>
      <c r="E117" s="1">
        <v>2.2999999999999998</v>
      </c>
    </row>
    <row r="118" spans="1:5">
      <c r="A118" s="1" t="s">
        <v>12</v>
      </c>
      <c r="B118" s="1">
        <v>6.5</v>
      </c>
      <c r="C118" s="1">
        <v>3</v>
      </c>
      <c r="D118" s="1">
        <v>5.5</v>
      </c>
      <c r="E118" s="1">
        <v>1.8</v>
      </c>
    </row>
    <row r="119" spans="1:5">
      <c r="A119" s="1" t="s">
        <v>12</v>
      </c>
      <c r="B119" s="1">
        <v>7.7</v>
      </c>
      <c r="C119" s="1">
        <v>3.8</v>
      </c>
      <c r="D119" s="1">
        <v>6.7</v>
      </c>
      <c r="E119" s="1">
        <v>2.2000000000000002</v>
      </c>
    </row>
    <row r="120" spans="1:5">
      <c r="A120" s="1" t="s">
        <v>12</v>
      </c>
      <c r="B120" s="1">
        <v>7.7</v>
      </c>
      <c r="C120" s="1">
        <v>2.6</v>
      </c>
      <c r="D120" s="1">
        <v>6.9</v>
      </c>
      <c r="E120" s="1">
        <v>2.2999999999999998</v>
      </c>
    </row>
    <row r="121" spans="1:5">
      <c r="A121" s="1" t="s">
        <v>12</v>
      </c>
      <c r="B121" s="1">
        <v>6</v>
      </c>
      <c r="C121" s="1">
        <v>2.2000000000000002</v>
      </c>
      <c r="D121" s="1">
        <v>5</v>
      </c>
      <c r="E121" s="1">
        <v>1.5</v>
      </c>
    </row>
    <row r="122" spans="1:5">
      <c r="A122" s="1" t="s">
        <v>12</v>
      </c>
      <c r="B122" s="1">
        <v>6.9</v>
      </c>
      <c r="C122" s="1">
        <v>3.2</v>
      </c>
      <c r="D122" s="1">
        <v>5.7</v>
      </c>
      <c r="E122" s="1">
        <v>2.2999999999999998</v>
      </c>
    </row>
    <row r="123" spans="1:5">
      <c r="A123" s="1" t="s">
        <v>12</v>
      </c>
      <c r="B123" s="1">
        <v>5.6</v>
      </c>
      <c r="C123" s="1">
        <v>2.8</v>
      </c>
      <c r="D123" s="1">
        <v>4.9000000000000004</v>
      </c>
      <c r="E123" s="1">
        <v>2</v>
      </c>
    </row>
    <row r="124" spans="1:5">
      <c r="A124" s="1" t="s">
        <v>12</v>
      </c>
      <c r="B124" s="1">
        <v>7.7</v>
      </c>
      <c r="C124" s="1">
        <v>2.8</v>
      </c>
      <c r="D124" s="1">
        <v>6.7</v>
      </c>
      <c r="E124" s="1">
        <v>2</v>
      </c>
    </row>
    <row r="125" spans="1:5">
      <c r="A125" s="1" t="s">
        <v>12</v>
      </c>
      <c r="B125" s="1">
        <v>6.3</v>
      </c>
      <c r="C125" s="1">
        <v>2.7</v>
      </c>
      <c r="D125" s="1">
        <v>4.9000000000000004</v>
      </c>
      <c r="E125" s="1">
        <v>1.8</v>
      </c>
    </row>
    <row r="126" spans="1:5">
      <c r="A126" s="1" t="s">
        <v>12</v>
      </c>
      <c r="B126" s="1">
        <v>6.7</v>
      </c>
      <c r="C126" s="1">
        <v>3.3</v>
      </c>
      <c r="D126" s="1">
        <v>5.7</v>
      </c>
      <c r="E126" s="1">
        <v>2.1</v>
      </c>
    </row>
    <row r="127" spans="1:5">
      <c r="A127" s="1" t="s">
        <v>12</v>
      </c>
      <c r="B127" s="1">
        <v>7.2</v>
      </c>
      <c r="C127" s="1">
        <v>3.2</v>
      </c>
      <c r="D127" s="1">
        <v>6</v>
      </c>
      <c r="E127" s="1">
        <v>1.8</v>
      </c>
    </row>
    <row r="128" spans="1:5">
      <c r="A128" s="1" t="s">
        <v>12</v>
      </c>
      <c r="B128" s="1">
        <v>6.2</v>
      </c>
      <c r="C128" s="1">
        <v>2.8</v>
      </c>
      <c r="D128" s="1">
        <v>4.8</v>
      </c>
      <c r="E128" s="1">
        <v>1.8</v>
      </c>
    </row>
    <row r="129" spans="1:5">
      <c r="A129" s="1" t="s">
        <v>12</v>
      </c>
      <c r="B129" s="1">
        <v>6.1</v>
      </c>
      <c r="C129" s="1">
        <v>3</v>
      </c>
      <c r="D129" s="1">
        <v>4.9000000000000004</v>
      </c>
      <c r="E129" s="1">
        <v>1.8</v>
      </c>
    </row>
    <row r="130" spans="1:5">
      <c r="A130" s="1" t="s">
        <v>12</v>
      </c>
      <c r="B130" s="1">
        <v>6.4</v>
      </c>
      <c r="C130" s="1">
        <v>2.8</v>
      </c>
      <c r="D130" s="1">
        <v>5.6</v>
      </c>
      <c r="E130" s="1">
        <v>2.1</v>
      </c>
    </row>
    <row r="131" spans="1:5">
      <c r="A131" s="1" t="s">
        <v>12</v>
      </c>
      <c r="B131" s="1">
        <v>7.2</v>
      </c>
      <c r="C131" s="1">
        <v>3</v>
      </c>
      <c r="D131" s="1">
        <v>5.8</v>
      </c>
      <c r="E131" s="1">
        <v>1.6</v>
      </c>
    </row>
    <row r="132" spans="1:5">
      <c r="A132" s="1" t="s">
        <v>12</v>
      </c>
      <c r="B132" s="1">
        <v>7.4</v>
      </c>
      <c r="C132" s="1">
        <v>2.8</v>
      </c>
      <c r="D132" s="1">
        <v>6.1</v>
      </c>
      <c r="E132" s="1">
        <v>1.9</v>
      </c>
    </row>
    <row r="133" spans="1:5">
      <c r="A133" s="1" t="s">
        <v>12</v>
      </c>
      <c r="B133" s="1">
        <v>7.9</v>
      </c>
      <c r="C133" s="1">
        <v>3.8</v>
      </c>
      <c r="D133" s="1">
        <v>6.4</v>
      </c>
      <c r="E133" s="1">
        <v>2</v>
      </c>
    </row>
    <row r="134" spans="1:5">
      <c r="A134" s="1" t="s">
        <v>12</v>
      </c>
      <c r="B134" s="1">
        <v>6.4</v>
      </c>
      <c r="C134" s="1">
        <v>2.8</v>
      </c>
      <c r="D134" s="1">
        <v>5.6</v>
      </c>
      <c r="E134" s="1">
        <v>2.2000000000000002</v>
      </c>
    </row>
    <row r="135" spans="1:5">
      <c r="A135" s="1" t="s">
        <v>12</v>
      </c>
      <c r="B135" s="1">
        <v>6.3</v>
      </c>
      <c r="C135" s="1">
        <v>2.8</v>
      </c>
      <c r="D135" s="1">
        <v>5.0999999999999996</v>
      </c>
      <c r="E135" s="1">
        <v>1.5</v>
      </c>
    </row>
    <row r="136" spans="1:5">
      <c r="A136" s="1" t="s">
        <v>12</v>
      </c>
      <c r="B136" s="1">
        <v>6.1</v>
      </c>
      <c r="C136" s="1">
        <v>2.6</v>
      </c>
      <c r="D136" s="1">
        <v>5.6</v>
      </c>
      <c r="E136" s="1">
        <v>1.4</v>
      </c>
    </row>
    <row r="137" spans="1:5">
      <c r="A137" s="1" t="s">
        <v>12</v>
      </c>
      <c r="B137" s="1">
        <v>7.7</v>
      </c>
      <c r="C137" s="1">
        <v>3</v>
      </c>
      <c r="D137" s="1">
        <v>6.1</v>
      </c>
      <c r="E137" s="1">
        <v>2.2999999999999998</v>
      </c>
    </row>
    <row r="138" spans="1:5">
      <c r="A138" s="1" t="s">
        <v>12</v>
      </c>
      <c r="B138" s="1">
        <v>6.3</v>
      </c>
      <c r="C138" s="1">
        <v>3.4</v>
      </c>
      <c r="D138" s="1">
        <v>5.6</v>
      </c>
      <c r="E138" s="1">
        <v>2.4</v>
      </c>
    </row>
    <row r="139" spans="1:5">
      <c r="A139" s="1" t="s">
        <v>12</v>
      </c>
      <c r="B139" s="1">
        <v>6.4</v>
      </c>
      <c r="C139" s="1">
        <v>3.1</v>
      </c>
      <c r="D139" s="1">
        <v>5.5</v>
      </c>
      <c r="E139" s="1">
        <v>1.8</v>
      </c>
    </row>
    <row r="140" spans="1:5">
      <c r="A140" s="1" t="s">
        <v>12</v>
      </c>
      <c r="B140" s="1">
        <v>6</v>
      </c>
      <c r="C140" s="1">
        <v>3</v>
      </c>
      <c r="D140" s="1">
        <v>4.8</v>
      </c>
      <c r="E140" s="1">
        <v>1.8</v>
      </c>
    </row>
    <row r="141" spans="1:5">
      <c r="A141" s="1" t="s">
        <v>12</v>
      </c>
      <c r="B141" s="1">
        <v>6.9</v>
      </c>
      <c r="C141" s="1">
        <v>3.1</v>
      </c>
      <c r="D141" s="1">
        <v>5.4</v>
      </c>
      <c r="E141" s="1">
        <v>2.1</v>
      </c>
    </row>
    <row r="142" spans="1:5">
      <c r="A142" s="1" t="s">
        <v>12</v>
      </c>
      <c r="B142" s="1">
        <v>6.7</v>
      </c>
      <c r="C142" s="1">
        <v>3.1</v>
      </c>
      <c r="D142" s="1">
        <v>5.6</v>
      </c>
      <c r="E142" s="1">
        <v>2.4</v>
      </c>
    </row>
    <row r="143" spans="1:5">
      <c r="A143" s="1" t="s">
        <v>12</v>
      </c>
      <c r="B143" s="1">
        <v>6.9</v>
      </c>
      <c r="C143" s="1">
        <v>3.1</v>
      </c>
      <c r="D143" s="1">
        <v>5.0999999999999996</v>
      </c>
      <c r="E143" s="1">
        <v>2.2999999999999998</v>
      </c>
    </row>
    <row r="144" spans="1:5">
      <c r="A144" s="1" t="s">
        <v>12</v>
      </c>
      <c r="B144" s="1">
        <v>5.8</v>
      </c>
      <c r="C144" s="1">
        <v>2.7</v>
      </c>
      <c r="D144" s="1">
        <v>5.0999999999999996</v>
      </c>
      <c r="E144" s="1">
        <v>1.9</v>
      </c>
    </row>
    <row r="145" spans="1:5">
      <c r="A145" s="1" t="s">
        <v>12</v>
      </c>
      <c r="B145" s="1">
        <v>6.8</v>
      </c>
      <c r="C145" s="1">
        <v>3.2</v>
      </c>
      <c r="D145" s="1">
        <v>5.9</v>
      </c>
      <c r="E145" s="1">
        <v>2.2999999999999998</v>
      </c>
    </row>
    <row r="146" spans="1:5">
      <c r="A146" s="1" t="s">
        <v>12</v>
      </c>
      <c r="B146" s="1">
        <v>6.7</v>
      </c>
      <c r="C146" s="1">
        <v>3.3</v>
      </c>
      <c r="D146" s="1">
        <v>5.7</v>
      </c>
      <c r="E146" s="1">
        <v>2.5</v>
      </c>
    </row>
    <row r="147" spans="1:5">
      <c r="A147" s="1" t="s">
        <v>12</v>
      </c>
      <c r="B147" s="1">
        <v>6.7</v>
      </c>
      <c r="C147" s="1">
        <v>3</v>
      </c>
      <c r="D147" s="1">
        <v>5.2</v>
      </c>
      <c r="E147" s="1">
        <v>2.2999999999999998</v>
      </c>
    </row>
    <row r="148" spans="1:5">
      <c r="A148" s="1" t="s">
        <v>12</v>
      </c>
      <c r="B148" s="1">
        <v>6.3</v>
      </c>
      <c r="C148" s="1">
        <v>2.5</v>
      </c>
      <c r="D148" s="1">
        <v>5</v>
      </c>
      <c r="E148" s="1">
        <v>1.9</v>
      </c>
    </row>
    <row r="149" spans="1:5">
      <c r="A149" s="1" t="s">
        <v>12</v>
      </c>
      <c r="B149" s="1">
        <v>6.5</v>
      </c>
      <c r="C149" s="1">
        <v>3</v>
      </c>
      <c r="D149" s="1">
        <v>5.2</v>
      </c>
      <c r="E149" s="1">
        <v>2</v>
      </c>
    </row>
    <row r="150" spans="1:5">
      <c r="A150" s="1" t="s">
        <v>12</v>
      </c>
      <c r="B150" s="1">
        <v>6.2</v>
      </c>
      <c r="C150" s="1">
        <v>3.4</v>
      </c>
      <c r="D150" s="1">
        <v>5.4</v>
      </c>
      <c r="E150" s="1">
        <v>2.2999999999999998</v>
      </c>
    </row>
    <row r="151" spans="1:5">
      <c r="A151" s="1" t="s">
        <v>12</v>
      </c>
      <c r="B151" s="1">
        <v>5.9</v>
      </c>
      <c r="C151" s="1">
        <v>3</v>
      </c>
      <c r="D151" s="1">
        <v>5.0999999999999996</v>
      </c>
      <c r="E151" s="1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4A91-1723-469A-8232-A639AE932821}">
  <sheetPr>
    <tabColor rgb="FF00B050"/>
  </sheetPr>
  <dimension ref="A1:R48"/>
  <sheetViews>
    <sheetView topLeftCell="A22" zoomScale="68" zoomScaleNormal="100" workbookViewId="0">
      <selection activeCell="L37" sqref="L37"/>
    </sheetView>
  </sheetViews>
  <sheetFormatPr defaultColWidth="8.77734375" defaultRowHeight="15.6"/>
  <cols>
    <col min="1" max="1" width="12.33203125" style="4" bestFit="1" customWidth="1"/>
    <col min="2" max="2" width="12.5546875" style="4" bestFit="1" customWidth="1"/>
    <col min="3" max="3" width="15.109375" style="4" bestFit="1" customWidth="1"/>
    <col min="4" max="4" width="19.33203125" style="4" bestFit="1" customWidth="1"/>
    <col min="5" max="5" width="13.21875" style="4" customWidth="1"/>
    <col min="6" max="6" width="10.77734375" style="4" customWidth="1"/>
    <col min="7" max="8" width="8.77734375" style="4"/>
    <col min="9" max="9" width="12.5546875" style="4" bestFit="1" customWidth="1"/>
    <col min="10" max="10" width="15.109375" style="4" bestFit="1" customWidth="1"/>
    <col min="11" max="11" width="8.77734375" style="4"/>
    <col min="12" max="12" width="14.44140625" style="4" customWidth="1"/>
    <col min="13" max="17" width="8.77734375" style="4"/>
    <col min="18" max="18" width="12.33203125" style="4" customWidth="1"/>
    <col min="19" max="16384" width="8.77734375" style="4"/>
  </cols>
  <sheetData>
    <row r="1" spans="1:11" ht="20.399999999999999" thickBot="1">
      <c r="A1" s="3" t="s">
        <v>13</v>
      </c>
      <c r="B1" s="3"/>
    </row>
    <row r="2" spans="1:11" ht="16.2" thickTop="1">
      <c r="I2"/>
    </row>
    <row r="3" spans="1:11" ht="18" thickBot="1">
      <c r="A3" s="5" t="s">
        <v>14</v>
      </c>
      <c r="B3" s="5"/>
      <c r="C3" s="5"/>
      <c r="D3" s="5"/>
      <c r="E3" s="5"/>
      <c r="F3" s="5"/>
      <c r="G3" s="5"/>
      <c r="H3" s="5"/>
      <c r="I3" s="68" t="s">
        <v>119</v>
      </c>
      <c r="J3" t="s">
        <v>121</v>
      </c>
      <c r="K3"/>
    </row>
    <row r="4" spans="1:11" ht="16.2" thickTop="1">
      <c r="I4" s="23" t="s">
        <v>5</v>
      </c>
      <c r="J4" s="69">
        <v>50</v>
      </c>
      <c r="K4"/>
    </row>
    <row r="5" spans="1:11">
      <c r="I5" s="23" t="s">
        <v>11</v>
      </c>
      <c r="J5" s="69">
        <v>50</v>
      </c>
      <c r="K5"/>
    </row>
    <row r="6" spans="1:11">
      <c r="I6" s="23" t="s">
        <v>12</v>
      </c>
      <c r="J6" s="69">
        <v>50</v>
      </c>
      <c r="K6"/>
    </row>
    <row r="7" spans="1:11">
      <c r="I7" s="23" t="s">
        <v>120</v>
      </c>
      <c r="J7" s="69">
        <v>150</v>
      </c>
      <c r="K7"/>
    </row>
    <row r="8" spans="1:11">
      <c r="I8"/>
      <c r="J8"/>
      <c r="K8"/>
    </row>
    <row r="9" spans="1:11">
      <c r="I9"/>
      <c r="J9"/>
      <c r="K9"/>
    </row>
    <row r="10" spans="1:11">
      <c r="I10"/>
      <c r="J10"/>
      <c r="K10"/>
    </row>
    <row r="11" spans="1:11">
      <c r="I11"/>
      <c r="J11"/>
      <c r="K11"/>
    </row>
    <row r="12" spans="1:11" ht="18" thickBot="1">
      <c r="A12" s="6" t="s">
        <v>15</v>
      </c>
      <c r="B12" s="5"/>
      <c r="C12" s="5"/>
      <c r="D12" s="5"/>
      <c r="E12" s="5"/>
      <c r="F12" s="5"/>
      <c r="G12" s="5"/>
      <c r="H12" s="5"/>
      <c r="I12"/>
      <c r="J12"/>
      <c r="K12"/>
    </row>
    <row r="13" spans="1:11" ht="16.2" thickTop="1">
      <c r="B13"/>
      <c r="C13"/>
      <c r="D13"/>
      <c r="E13"/>
      <c r="F13"/>
      <c r="G13"/>
      <c r="H13"/>
      <c r="I13"/>
      <c r="J13"/>
      <c r="K13"/>
    </row>
    <row r="14" spans="1:11">
      <c r="A14" s="9"/>
      <c r="B14" s="68" t="s">
        <v>119</v>
      </c>
      <c r="C14" t="s">
        <v>121</v>
      </c>
      <c r="D14"/>
      <c r="E14"/>
      <c r="F14" s="7"/>
      <c r="G14" s="7"/>
      <c r="H14"/>
      <c r="I14"/>
      <c r="J14"/>
      <c r="K14"/>
    </row>
    <row r="15" spans="1:11">
      <c r="B15" s="23" t="s">
        <v>5</v>
      </c>
      <c r="C15" s="70">
        <v>0.33333333333333331</v>
      </c>
      <c r="D15"/>
      <c r="E15"/>
      <c r="F15" s="7"/>
      <c r="G15" s="7"/>
      <c r="H15"/>
      <c r="I15"/>
      <c r="J15"/>
      <c r="K15"/>
    </row>
    <row r="16" spans="1:11" ht="22.8">
      <c r="A16" s="10"/>
      <c r="B16" s="23" t="s">
        <v>11</v>
      </c>
      <c r="C16" s="70">
        <v>0.33333333333333331</v>
      </c>
      <c r="D16"/>
      <c r="E16"/>
      <c r="F16" s="7"/>
      <c r="G16" s="7"/>
      <c r="H16"/>
      <c r="I16"/>
      <c r="J16"/>
      <c r="K16"/>
    </row>
    <row r="17" spans="1:18">
      <c r="B17" s="23" t="s">
        <v>12</v>
      </c>
      <c r="C17" s="70">
        <v>0.33333333333333331</v>
      </c>
      <c r="D17"/>
      <c r="E17" s="7"/>
      <c r="F17"/>
      <c r="G17"/>
      <c r="H17"/>
      <c r="I17"/>
      <c r="J17"/>
      <c r="K17"/>
    </row>
    <row r="18" spans="1:18">
      <c r="B18" s="23" t="s">
        <v>120</v>
      </c>
      <c r="C18" s="70">
        <v>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>
      <c r="A21" s="1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ht="18" thickBot="1">
      <c r="A23" s="5" t="s">
        <v>16</v>
      </c>
      <c r="B23" s="5"/>
      <c r="C23" s="7"/>
      <c r="D23" s="7"/>
      <c r="E23" s="7"/>
      <c r="F23" s="7"/>
      <c r="G23"/>
      <c r="H23"/>
      <c r="I23" s="7"/>
      <c r="J23" s="7"/>
      <c r="K23" s="7"/>
      <c r="L23" s="7"/>
      <c r="M23"/>
      <c r="N23"/>
      <c r="O23" s="7"/>
      <c r="P23" s="7"/>
      <c r="Q23" s="7"/>
      <c r="R23" s="7"/>
    </row>
    <row r="24" spans="1:18" ht="16.2" thickTop="1">
      <c r="C24" s="7"/>
      <c r="D24" s="7"/>
      <c r="E24" s="7"/>
      <c r="F24" s="7"/>
      <c r="G24"/>
      <c r="H24"/>
      <c r="I24" s="7"/>
      <c r="J24" s="7"/>
      <c r="K24" s="7"/>
      <c r="L24" s="7"/>
      <c r="M24"/>
      <c r="N24"/>
      <c r="O24" s="7"/>
      <c r="P24" s="7"/>
      <c r="Q24" s="7"/>
      <c r="R24" s="7"/>
    </row>
    <row r="25" spans="1:18">
      <c r="A25" s="68" t="s">
        <v>119</v>
      </c>
      <c r="B25" t="s">
        <v>121</v>
      </c>
      <c r="C25"/>
      <c r="D25"/>
      <c r="E25"/>
      <c r="F25"/>
      <c r="G25" s="7"/>
      <c r="H25"/>
      <c r="I25"/>
      <c r="J25"/>
      <c r="K25"/>
      <c r="L25"/>
      <c r="M25" s="7"/>
      <c r="N25"/>
      <c r="O25"/>
      <c r="P25"/>
    </row>
    <row r="26" spans="1:18">
      <c r="A26" s="23" t="s">
        <v>5</v>
      </c>
      <c r="B26" s="70">
        <v>0.33333333333333331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8">
      <c r="A27" s="23" t="s">
        <v>11</v>
      </c>
      <c r="B27" s="70">
        <v>0.33333333333333331</v>
      </c>
      <c r="H27"/>
      <c r="I27"/>
      <c r="J27"/>
      <c r="K27"/>
      <c r="L27"/>
      <c r="M27"/>
      <c r="N27"/>
      <c r="O27"/>
      <c r="P27"/>
    </row>
    <row r="28" spans="1:18" ht="18" thickBot="1">
      <c r="A28" s="23" t="s">
        <v>12</v>
      </c>
      <c r="B28" s="70">
        <v>0.33333333333333331</v>
      </c>
      <c r="C28" s="5"/>
      <c r="D28" s="5"/>
      <c r="E28" s="5"/>
      <c r="F28" s="5"/>
    </row>
    <row r="29" spans="1:18" ht="16.2" thickTop="1">
      <c r="A29" s="23" t="s">
        <v>120</v>
      </c>
      <c r="B29" s="70">
        <v>1</v>
      </c>
    </row>
    <row r="42" spans="1:6" ht="18" thickBot="1">
      <c r="A42" s="5" t="s">
        <v>17</v>
      </c>
      <c r="B42" s="5"/>
    </row>
    <row r="43" spans="1:6" ht="16.2" thickTop="1"/>
    <row r="44" spans="1:6">
      <c r="B44" s="68" t="s">
        <v>119</v>
      </c>
      <c r="C44" t="s">
        <v>121</v>
      </c>
    </row>
    <row r="45" spans="1:6">
      <c r="B45" s="23" t="s">
        <v>5</v>
      </c>
      <c r="C45" s="69">
        <v>50</v>
      </c>
    </row>
    <row r="46" spans="1:6">
      <c r="B46" s="23" t="s">
        <v>11</v>
      </c>
      <c r="C46" s="69">
        <v>50</v>
      </c>
    </row>
    <row r="47" spans="1:6" ht="18" thickBot="1">
      <c r="A47" s="5"/>
      <c r="B47" s="23" t="s">
        <v>12</v>
      </c>
      <c r="C47" s="69">
        <v>50</v>
      </c>
      <c r="D47" s="5"/>
      <c r="E47" s="5"/>
      <c r="F47" s="5"/>
    </row>
    <row r="48" spans="1:6" ht="16.2" thickTop="1">
      <c r="B48" s="23" t="s">
        <v>120</v>
      </c>
      <c r="C48" s="69">
        <v>150</v>
      </c>
    </row>
  </sheetData>
  <pageMargins left="0.7" right="0.7" top="0.75" bottom="0.75" header="0.3" footer="0.3"/>
  <pageSetup orientation="portrait" horizontalDpi="4294967293" verticalDpi="0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3F4A-4283-42DA-9127-04097AE4FE22}">
  <sheetPr>
    <tabColor rgb="FF00B05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4B36-69EF-47F3-8418-3484CCFE59C4}">
  <sheetPr>
    <tabColor rgb="FF00B050"/>
  </sheetPr>
  <dimension ref="A1:F1201"/>
  <sheetViews>
    <sheetView workbookViewId="0">
      <selection activeCell="A3" sqref="A3"/>
    </sheetView>
  </sheetViews>
  <sheetFormatPr defaultColWidth="11.33203125" defaultRowHeight="15.6"/>
  <cols>
    <col min="1" max="2" width="11.33203125" style="1"/>
    <col min="3" max="3" width="14.44140625" style="1" customWidth="1"/>
    <col min="4" max="4" width="12.21875" style="1" bestFit="1" customWidth="1"/>
    <col min="5" max="5" width="13.6640625" style="1" bestFit="1" customWidth="1"/>
    <col min="6" max="8" width="11.33203125" style="1"/>
    <col min="9" max="9" width="12.21875" style="1" bestFit="1" customWidth="1"/>
    <col min="10" max="10" width="13.6640625" style="1" bestFit="1" customWidth="1"/>
    <col min="11" max="16384" width="11.33203125" style="1"/>
  </cols>
  <sheetData>
    <row r="1" spans="1:4">
      <c r="A1" s="1" t="s">
        <v>18</v>
      </c>
    </row>
    <row r="2" spans="1:4">
      <c r="A2" s="1" t="s">
        <v>19</v>
      </c>
    </row>
    <row r="3" spans="1:4">
      <c r="A3" s="1" t="s">
        <v>19</v>
      </c>
    </row>
    <row r="4" spans="1:4">
      <c r="A4" s="1" t="s">
        <v>19</v>
      </c>
    </row>
    <row r="5" spans="1:4">
      <c r="A5" s="1" t="s">
        <v>19</v>
      </c>
      <c r="D5" s="12"/>
    </row>
    <row r="6" spans="1:4">
      <c r="A6" s="1" t="s">
        <v>19</v>
      </c>
      <c r="D6" s="12"/>
    </row>
    <row r="7" spans="1:4">
      <c r="A7" s="1" t="s">
        <v>19</v>
      </c>
      <c r="D7" s="12"/>
    </row>
    <row r="8" spans="1:4">
      <c r="A8" s="1" t="s">
        <v>19</v>
      </c>
      <c r="C8" s="12"/>
    </row>
    <row r="9" spans="1:4">
      <c r="A9" s="1" t="s">
        <v>19</v>
      </c>
    </row>
    <row r="10" spans="1:4">
      <c r="A10" s="1" t="s">
        <v>19</v>
      </c>
    </row>
    <row r="11" spans="1:4">
      <c r="A11" s="1" t="s">
        <v>19</v>
      </c>
    </row>
    <row r="12" spans="1:4">
      <c r="A12" s="1" t="s">
        <v>19</v>
      </c>
    </row>
    <row r="13" spans="1:4">
      <c r="A13" s="1" t="s">
        <v>19</v>
      </c>
    </row>
    <row r="14" spans="1:4">
      <c r="A14" s="1" t="s">
        <v>19</v>
      </c>
    </row>
    <row r="15" spans="1:4">
      <c r="A15" s="1" t="s">
        <v>19</v>
      </c>
    </row>
    <row r="16" spans="1:4">
      <c r="A16" s="1" t="s">
        <v>19</v>
      </c>
    </row>
    <row r="17" spans="1:6">
      <c r="A17" s="1" t="s">
        <v>19</v>
      </c>
    </row>
    <row r="18" spans="1:6">
      <c r="A18" s="1" t="s">
        <v>19</v>
      </c>
    </row>
    <row r="19" spans="1:6">
      <c r="A19" s="1" t="s">
        <v>19</v>
      </c>
    </row>
    <row r="20" spans="1:6">
      <c r="A20" s="1" t="s">
        <v>19</v>
      </c>
    </row>
    <row r="21" spans="1:6">
      <c r="A21" s="1" t="s">
        <v>19</v>
      </c>
    </row>
    <row r="22" spans="1:6">
      <c r="A22" s="1" t="s">
        <v>19</v>
      </c>
    </row>
    <row r="23" spans="1:6">
      <c r="A23" s="1" t="s">
        <v>19</v>
      </c>
    </row>
    <row r="24" spans="1:6">
      <c r="A24" s="1" t="s">
        <v>19</v>
      </c>
    </row>
    <row r="25" spans="1:6">
      <c r="A25" s="1" t="s">
        <v>19</v>
      </c>
    </row>
    <row r="26" spans="1:6">
      <c r="A26" s="1" t="s">
        <v>19</v>
      </c>
    </row>
    <row r="27" spans="1:6">
      <c r="A27" s="1" t="s">
        <v>19</v>
      </c>
    </row>
    <row r="28" spans="1:6">
      <c r="A28" s="1" t="s">
        <v>19</v>
      </c>
      <c r="D28"/>
      <c r="E28"/>
      <c r="F28"/>
    </row>
    <row r="29" spans="1:6">
      <c r="A29" s="1" t="s">
        <v>19</v>
      </c>
      <c r="D29"/>
      <c r="E29"/>
      <c r="F29"/>
    </row>
    <row r="30" spans="1:6">
      <c r="A30" s="1" t="s">
        <v>19</v>
      </c>
      <c r="D30"/>
      <c r="E30"/>
      <c r="F30"/>
    </row>
    <row r="31" spans="1:6">
      <c r="A31" s="1" t="s">
        <v>19</v>
      </c>
      <c r="D31"/>
      <c r="E31"/>
      <c r="F31"/>
    </row>
    <row r="32" spans="1:6">
      <c r="A32" s="1" t="s">
        <v>19</v>
      </c>
      <c r="D32"/>
      <c r="E32"/>
      <c r="F32"/>
    </row>
    <row r="33" spans="1:6">
      <c r="A33" s="1" t="s">
        <v>19</v>
      </c>
      <c r="D33"/>
      <c r="E33"/>
      <c r="F33"/>
    </row>
    <row r="34" spans="1:6">
      <c r="A34" s="1" t="s">
        <v>19</v>
      </c>
      <c r="D34"/>
      <c r="E34"/>
      <c r="F34"/>
    </row>
    <row r="35" spans="1:6">
      <c r="A35" s="1" t="s">
        <v>19</v>
      </c>
      <c r="D35"/>
      <c r="E35"/>
      <c r="F35"/>
    </row>
    <row r="36" spans="1:6">
      <c r="A36" s="1" t="s">
        <v>19</v>
      </c>
      <c r="D36"/>
      <c r="E36"/>
      <c r="F36"/>
    </row>
    <row r="37" spans="1:6">
      <c r="A37" s="1" t="s">
        <v>19</v>
      </c>
      <c r="D37"/>
      <c r="E37"/>
      <c r="F37"/>
    </row>
    <row r="38" spans="1:6">
      <c r="A38" s="1" t="s">
        <v>19</v>
      </c>
      <c r="D38"/>
      <c r="E38"/>
      <c r="F38"/>
    </row>
    <row r="39" spans="1:6">
      <c r="A39" s="1" t="s">
        <v>19</v>
      </c>
    </row>
    <row r="40" spans="1:6">
      <c r="A40" s="1" t="s">
        <v>19</v>
      </c>
    </row>
    <row r="41" spans="1:6">
      <c r="A41" s="1" t="s">
        <v>19</v>
      </c>
    </row>
    <row r="42" spans="1:6">
      <c r="A42" s="1" t="s">
        <v>19</v>
      </c>
    </row>
    <row r="43" spans="1:6">
      <c r="A43" s="1" t="s">
        <v>19</v>
      </c>
    </row>
    <row r="44" spans="1:6">
      <c r="A44" s="1" t="s">
        <v>19</v>
      </c>
    </row>
    <row r="45" spans="1:6">
      <c r="A45" s="1" t="s">
        <v>19</v>
      </c>
    </row>
    <row r="46" spans="1:6">
      <c r="A46" s="1" t="s">
        <v>19</v>
      </c>
    </row>
    <row r="47" spans="1:6">
      <c r="A47" s="1" t="s">
        <v>19</v>
      </c>
    </row>
    <row r="48" spans="1:6">
      <c r="A48" s="1" t="s">
        <v>19</v>
      </c>
    </row>
    <row r="49" spans="1:1">
      <c r="A49" s="1" t="s">
        <v>19</v>
      </c>
    </row>
    <row r="50" spans="1:1">
      <c r="A50" s="1" t="s">
        <v>19</v>
      </c>
    </row>
    <row r="51" spans="1:1">
      <c r="A51" s="1" t="s">
        <v>19</v>
      </c>
    </row>
    <row r="52" spans="1:1">
      <c r="A52" s="1" t="s">
        <v>19</v>
      </c>
    </row>
    <row r="53" spans="1:1">
      <c r="A53" s="1" t="s">
        <v>19</v>
      </c>
    </row>
    <row r="54" spans="1:1">
      <c r="A54" s="1" t="s">
        <v>19</v>
      </c>
    </row>
    <row r="55" spans="1:1">
      <c r="A55" s="1" t="s">
        <v>19</v>
      </c>
    </row>
    <row r="56" spans="1:1">
      <c r="A56" s="1" t="s">
        <v>19</v>
      </c>
    </row>
    <row r="57" spans="1:1">
      <c r="A57" s="1" t="s">
        <v>19</v>
      </c>
    </row>
    <row r="58" spans="1:1">
      <c r="A58" s="1" t="s">
        <v>19</v>
      </c>
    </row>
    <row r="59" spans="1:1">
      <c r="A59" s="1" t="s">
        <v>19</v>
      </c>
    </row>
    <row r="60" spans="1:1">
      <c r="A60" s="1" t="s">
        <v>19</v>
      </c>
    </row>
    <row r="61" spans="1:1">
      <c r="A61" s="1" t="s">
        <v>19</v>
      </c>
    </row>
    <row r="62" spans="1:1">
      <c r="A62" s="1" t="s">
        <v>19</v>
      </c>
    </row>
    <row r="63" spans="1:1">
      <c r="A63" s="1" t="s">
        <v>19</v>
      </c>
    </row>
    <row r="64" spans="1:1">
      <c r="A64" s="1" t="s">
        <v>19</v>
      </c>
    </row>
    <row r="65" spans="1:1">
      <c r="A65" s="1" t="s">
        <v>19</v>
      </c>
    </row>
    <row r="66" spans="1:1">
      <c r="A66" s="1" t="s">
        <v>19</v>
      </c>
    </row>
    <row r="67" spans="1:1">
      <c r="A67" s="1" t="s">
        <v>19</v>
      </c>
    </row>
    <row r="68" spans="1:1">
      <c r="A68" s="1" t="s">
        <v>19</v>
      </c>
    </row>
    <row r="69" spans="1:1">
      <c r="A69" s="1" t="s">
        <v>19</v>
      </c>
    </row>
    <row r="70" spans="1:1">
      <c r="A70" s="1" t="s">
        <v>19</v>
      </c>
    </row>
    <row r="71" spans="1:1">
      <c r="A71" s="1" t="s">
        <v>19</v>
      </c>
    </row>
    <row r="72" spans="1:1">
      <c r="A72" s="1" t="s">
        <v>19</v>
      </c>
    </row>
    <row r="73" spans="1:1">
      <c r="A73" s="1" t="s">
        <v>19</v>
      </c>
    </row>
    <row r="74" spans="1:1">
      <c r="A74" s="1" t="s">
        <v>19</v>
      </c>
    </row>
    <row r="75" spans="1:1">
      <c r="A75" s="1" t="s">
        <v>19</v>
      </c>
    </row>
    <row r="76" spans="1:1">
      <c r="A76" s="1" t="s">
        <v>19</v>
      </c>
    </row>
    <row r="77" spans="1:1">
      <c r="A77" s="1" t="s">
        <v>19</v>
      </c>
    </row>
    <row r="78" spans="1:1">
      <c r="A78" s="1" t="s">
        <v>19</v>
      </c>
    </row>
    <row r="79" spans="1:1">
      <c r="A79" s="1" t="s">
        <v>19</v>
      </c>
    </row>
    <row r="80" spans="1:1">
      <c r="A80" s="1" t="s">
        <v>19</v>
      </c>
    </row>
    <row r="81" spans="1:1">
      <c r="A81" s="1" t="s">
        <v>19</v>
      </c>
    </row>
    <row r="82" spans="1:1">
      <c r="A82" s="1" t="s">
        <v>19</v>
      </c>
    </row>
    <row r="83" spans="1:1">
      <c r="A83" s="1" t="s">
        <v>19</v>
      </c>
    </row>
    <row r="84" spans="1:1">
      <c r="A84" s="1" t="s">
        <v>19</v>
      </c>
    </row>
    <row r="85" spans="1:1">
      <c r="A85" s="1" t="s">
        <v>19</v>
      </c>
    </row>
    <row r="86" spans="1:1">
      <c r="A86" s="1" t="s">
        <v>19</v>
      </c>
    </row>
    <row r="87" spans="1:1">
      <c r="A87" s="1" t="s">
        <v>19</v>
      </c>
    </row>
    <row r="88" spans="1:1">
      <c r="A88" s="1" t="s">
        <v>19</v>
      </c>
    </row>
    <row r="89" spans="1:1">
      <c r="A89" s="1" t="s">
        <v>19</v>
      </c>
    </row>
    <row r="90" spans="1:1">
      <c r="A90" s="1" t="s">
        <v>19</v>
      </c>
    </row>
    <row r="91" spans="1:1">
      <c r="A91" s="1" t="s">
        <v>19</v>
      </c>
    </row>
    <row r="92" spans="1:1">
      <c r="A92" s="1" t="s">
        <v>19</v>
      </c>
    </row>
    <row r="93" spans="1:1">
      <c r="A93" s="1" t="s">
        <v>19</v>
      </c>
    </row>
    <row r="94" spans="1:1">
      <c r="A94" s="1" t="s">
        <v>19</v>
      </c>
    </row>
    <row r="95" spans="1:1">
      <c r="A95" s="1" t="s">
        <v>19</v>
      </c>
    </row>
    <row r="96" spans="1:1">
      <c r="A96" s="1" t="s">
        <v>19</v>
      </c>
    </row>
    <row r="97" spans="1:1">
      <c r="A97" s="1" t="s">
        <v>19</v>
      </c>
    </row>
    <row r="98" spans="1:1">
      <c r="A98" s="1" t="s">
        <v>19</v>
      </c>
    </row>
    <row r="99" spans="1:1">
      <c r="A99" s="1" t="s">
        <v>19</v>
      </c>
    </row>
    <row r="100" spans="1:1">
      <c r="A100" s="1" t="s">
        <v>19</v>
      </c>
    </row>
    <row r="101" spans="1:1">
      <c r="A101" s="1" t="s">
        <v>19</v>
      </c>
    </row>
    <row r="102" spans="1:1">
      <c r="A102" s="1" t="s">
        <v>19</v>
      </c>
    </row>
    <row r="103" spans="1:1">
      <c r="A103" s="1" t="s">
        <v>19</v>
      </c>
    </row>
    <row r="104" spans="1:1">
      <c r="A104" s="1" t="s">
        <v>19</v>
      </c>
    </row>
    <row r="105" spans="1:1">
      <c r="A105" s="1" t="s">
        <v>19</v>
      </c>
    </row>
    <row r="106" spans="1:1">
      <c r="A106" s="1" t="s">
        <v>19</v>
      </c>
    </row>
    <row r="107" spans="1:1">
      <c r="A107" s="1" t="s">
        <v>19</v>
      </c>
    </row>
    <row r="108" spans="1:1">
      <c r="A108" s="1" t="s">
        <v>19</v>
      </c>
    </row>
    <row r="109" spans="1:1">
      <c r="A109" s="1" t="s">
        <v>19</v>
      </c>
    </row>
    <row r="110" spans="1:1">
      <c r="A110" s="1" t="s">
        <v>19</v>
      </c>
    </row>
    <row r="111" spans="1:1">
      <c r="A111" s="1" t="s">
        <v>19</v>
      </c>
    </row>
    <row r="112" spans="1:1">
      <c r="A112" s="1" t="s">
        <v>19</v>
      </c>
    </row>
    <row r="113" spans="1:1">
      <c r="A113" s="1" t="s">
        <v>19</v>
      </c>
    </row>
    <row r="114" spans="1:1">
      <c r="A114" s="1" t="s">
        <v>19</v>
      </c>
    </row>
    <row r="115" spans="1:1">
      <c r="A115" s="1" t="s">
        <v>19</v>
      </c>
    </row>
    <row r="116" spans="1:1">
      <c r="A116" s="1" t="s">
        <v>19</v>
      </c>
    </row>
    <row r="117" spans="1:1">
      <c r="A117" s="1" t="s">
        <v>19</v>
      </c>
    </row>
    <row r="118" spans="1:1">
      <c r="A118" s="1" t="s">
        <v>19</v>
      </c>
    </row>
    <row r="119" spans="1:1">
      <c r="A119" s="1" t="s">
        <v>19</v>
      </c>
    </row>
    <row r="120" spans="1:1">
      <c r="A120" s="1" t="s">
        <v>19</v>
      </c>
    </row>
    <row r="121" spans="1:1">
      <c r="A121" s="1" t="s">
        <v>19</v>
      </c>
    </row>
    <row r="122" spans="1:1">
      <c r="A122" s="1" t="s">
        <v>19</v>
      </c>
    </row>
    <row r="123" spans="1:1">
      <c r="A123" s="1" t="s">
        <v>19</v>
      </c>
    </row>
    <row r="124" spans="1:1">
      <c r="A124" s="1" t="s">
        <v>19</v>
      </c>
    </row>
    <row r="125" spans="1:1">
      <c r="A125" s="1" t="s">
        <v>19</v>
      </c>
    </row>
    <row r="126" spans="1:1">
      <c r="A126" s="1" t="s">
        <v>19</v>
      </c>
    </row>
    <row r="127" spans="1:1">
      <c r="A127" s="1" t="s">
        <v>19</v>
      </c>
    </row>
    <row r="128" spans="1:1">
      <c r="A128" s="1" t="s">
        <v>19</v>
      </c>
    </row>
    <row r="129" spans="1:1">
      <c r="A129" s="1" t="s">
        <v>19</v>
      </c>
    </row>
    <row r="130" spans="1:1">
      <c r="A130" s="1" t="s">
        <v>19</v>
      </c>
    </row>
    <row r="131" spans="1:1">
      <c r="A131" s="1" t="s">
        <v>19</v>
      </c>
    </row>
    <row r="132" spans="1:1">
      <c r="A132" s="1" t="s">
        <v>19</v>
      </c>
    </row>
    <row r="133" spans="1:1">
      <c r="A133" s="1" t="s">
        <v>19</v>
      </c>
    </row>
    <row r="134" spans="1:1">
      <c r="A134" s="1" t="s">
        <v>19</v>
      </c>
    </row>
    <row r="135" spans="1:1">
      <c r="A135" s="1" t="s">
        <v>19</v>
      </c>
    </row>
    <row r="136" spans="1:1">
      <c r="A136" s="1" t="s">
        <v>19</v>
      </c>
    </row>
    <row r="137" spans="1:1">
      <c r="A137" s="1" t="s">
        <v>19</v>
      </c>
    </row>
    <row r="138" spans="1:1">
      <c r="A138" s="1" t="s">
        <v>19</v>
      </c>
    </row>
    <row r="139" spans="1:1">
      <c r="A139" s="1" t="s">
        <v>19</v>
      </c>
    </row>
    <row r="140" spans="1:1">
      <c r="A140" s="1" t="s">
        <v>19</v>
      </c>
    </row>
    <row r="141" spans="1:1">
      <c r="A141" s="1" t="s">
        <v>19</v>
      </c>
    </row>
    <row r="142" spans="1:1">
      <c r="A142" s="1" t="s">
        <v>19</v>
      </c>
    </row>
    <row r="143" spans="1:1">
      <c r="A143" s="1" t="s">
        <v>19</v>
      </c>
    </row>
    <row r="144" spans="1:1">
      <c r="A144" s="1" t="s">
        <v>19</v>
      </c>
    </row>
    <row r="145" spans="1:1">
      <c r="A145" s="1" t="s">
        <v>19</v>
      </c>
    </row>
    <row r="146" spans="1:1">
      <c r="A146" s="1" t="s">
        <v>19</v>
      </c>
    </row>
    <row r="147" spans="1:1">
      <c r="A147" s="1" t="s">
        <v>19</v>
      </c>
    </row>
    <row r="148" spans="1:1">
      <c r="A148" s="1" t="s">
        <v>19</v>
      </c>
    </row>
    <row r="149" spans="1:1">
      <c r="A149" s="1" t="s">
        <v>19</v>
      </c>
    </row>
    <row r="150" spans="1:1">
      <c r="A150" s="1" t="s">
        <v>19</v>
      </c>
    </row>
    <row r="151" spans="1:1">
      <c r="A151" s="1" t="s">
        <v>19</v>
      </c>
    </row>
    <row r="152" spans="1:1">
      <c r="A152" s="1" t="s">
        <v>19</v>
      </c>
    </row>
    <row r="153" spans="1:1">
      <c r="A153" s="1" t="s">
        <v>19</v>
      </c>
    </row>
    <row r="154" spans="1:1">
      <c r="A154" s="1" t="s">
        <v>19</v>
      </c>
    </row>
    <row r="155" spans="1:1">
      <c r="A155" s="1" t="s">
        <v>19</v>
      </c>
    </row>
    <row r="156" spans="1:1">
      <c r="A156" s="1" t="s">
        <v>19</v>
      </c>
    </row>
    <row r="157" spans="1:1">
      <c r="A157" s="1" t="s">
        <v>19</v>
      </c>
    </row>
    <row r="158" spans="1:1">
      <c r="A158" s="1" t="s">
        <v>19</v>
      </c>
    </row>
    <row r="159" spans="1:1">
      <c r="A159" s="1" t="s">
        <v>19</v>
      </c>
    </row>
    <row r="160" spans="1:1">
      <c r="A160" s="1" t="s">
        <v>19</v>
      </c>
    </row>
    <row r="161" spans="1:1">
      <c r="A161" s="1" t="s">
        <v>19</v>
      </c>
    </row>
    <row r="162" spans="1:1">
      <c r="A162" s="1" t="s">
        <v>19</v>
      </c>
    </row>
    <row r="163" spans="1:1">
      <c r="A163" s="1" t="s">
        <v>19</v>
      </c>
    </row>
    <row r="164" spans="1:1">
      <c r="A164" s="1" t="s">
        <v>19</v>
      </c>
    </row>
    <row r="165" spans="1:1">
      <c r="A165" s="1" t="s">
        <v>19</v>
      </c>
    </row>
    <row r="166" spans="1:1">
      <c r="A166" s="1" t="s">
        <v>19</v>
      </c>
    </row>
    <row r="167" spans="1:1">
      <c r="A167" s="1" t="s">
        <v>19</v>
      </c>
    </row>
    <row r="168" spans="1:1">
      <c r="A168" s="1" t="s">
        <v>19</v>
      </c>
    </row>
    <row r="169" spans="1:1">
      <c r="A169" s="1" t="s">
        <v>19</v>
      </c>
    </row>
    <row r="170" spans="1:1">
      <c r="A170" s="1" t="s">
        <v>19</v>
      </c>
    </row>
    <row r="171" spans="1:1">
      <c r="A171" s="1" t="s">
        <v>19</v>
      </c>
    </row>
    <row r="172" spans="1:1">
      <c r="A172" s="1" t="s">
        <v>19</v>
      </c>
    </row>
    <row r="173" spans="1:1">
      <c r="A173" s="1" t="s">
        <v>19</v>
      </c>
    </row>
    <row r="174" spans="1:1">
      <c r="A174" s="1" t="s">
        <v>19</v>
      </c>
    </row>
    <row r="175" spans="1:1">
      <c r="A175" s="1" t="s">
        <v>19</v>
      </c>
    </row>
    <row r="176" spans="1:1">
      <c r="A176" s="1" t="s">
        <v>19</v>
      </c>
    </row>
    <row r="177" spans="1:1">
      <c r="A177" s="1" t="s">
        <v>19</v>
      </c>
    </row>
    <row r="178" spans="1:1">
      <c r="A178" s="1" t="s">
        <v>19</v>
      </c>
    </row>
    <row r="179" spans="1:1">
      <c r="A179" s="1" t="s">
        <v>19</v>
      </c>
    </row>
    <row r="180" spans="1:1">
      <c r="A180" s="1" t="s">
        <v>19</v>
      </c>
    </row>
    <row r="181" spans="1:1">
      <c r="A181" s="1" t="s">
        <v>19</v>
      </c>
    </row>
    <row r="182" spans="1:1">
      <c r="A182" s="1" t="s">
        <v>19</v>
      </c>
    </row>
    <row r="183" spans="1:1">
      <c r="A183" s="1" t="s">
        <v>19</v>
      </c>
    </row>
    <row r="184" spans="1:1">
      <c r="A184" s="1" t="s">
        <v>19</v>
      </c>
    </row>
    <row r="185" spans="1:1">
      <c r="A185" s="1" t="s">
        <v>19</v>
      </c>
    </row>
    <row r="186" spans="1:1">
      <c r="A186" s="1" t="s">
        <v>19</v>
      </c>
    </row>
    <row r="187" spans="1:1">
      <c r="A187" s="1" t="s">
        <v>19</v>
      </c>
    </row>
    <row r="188" spans="1:1">
      <c r="A188" s="1" t="s">
        <v>19</v>
      </c>
    </row>
    <row r="189" spans="1:1">
      <c r="A189" s="1" t="s">
        <v>19</v>
      </c>
    </row>
    <row r="190" spans="1:1">
      <c r="A190" s="1" t="s">
        <v>19</v>
      </c>
    </row>
    <row r="191" spans="1:1">
      <c r="A191" s="1" t="s">
        <v>19</v>
      </c>
    </row>
    <row r="192" spans="1:1">
      <c r="A192" s="1" t="s">
        <v>19</v>
      </c>
    </row>
    <row r="193" spans="1:1">
      <c r="A193" s="1" t="s">
        <v>19</v>
      </c>
    </row>
    <row r="194" spans="1:1">
      <c r="A194" s="1" t="s">
        <v>19</v>
      </c>
    </row>
    <row r="195" spans="1:1">
      <c r="A195" s="1" t="s">
        <v>19</v>
      </c>
    </row>
    <row r="196" spans="1:1">
      <c r="A196" s="1" t="s">
        <v>19</v>
      </c>
    </row>
    <row r="197" spans="1:1">
      <c r="A197" s="1" t="s">
        <v>19</v>
      </c>
    </row>
    <row r="198" spans="1:1">
      <c r="A198" s="1" t="s">
        <v>19</v>
      </c>
    </row>
    <row r="199" spans="1:1">
      <c r="A199" s="1" t="s">
        <v>19</v>
      </c>
    </row>
    <row r="200" spans="1:1">
      <c r="A200" s="1" t="s">
        <v>19</v>
      </c>
    </row>
    <row r="201" spans="1:1">
      <c r="A201" s="1" t="s">
        <v>19</v>
      </c>
    </row>
    <row r="202" spans="1:1">
      <c r="A202" s="1" t="s">
        <v>19</v>
      </c>
    </row>
    <row r="203" spans="1:1">
      <c r="A203" s="1" t="s">
        <v>19</v>
      </c>
    </row>
    <row r="204" spans="1:1">
      <c r="A204" s="1" t="s">
        <v>19</v>
      </c>
    </row>
    <row r="205" spans="1:1">
      <c r="A205" s="1" t="s">
        <v>19</v>
      </c>
    </row>
    <row r="206" spans="1:1">
      <c r="A206" s="1" t="s">
        <v>19</v>
      </c>
    </row>
    <row r="207" spans="1:1">
      <c r="A207" s="1" t="s">
        <v>19</v>
      </c>
    </row>
    <row r="208" spans="1:1">
      <c r="A208" s="1" t="s">
        <v>19</v>
      </c>
    </row>
    <row r="209" spans="1:1">
      <c r="A209" s="1" t="s">
        <v>19</v>
      </c>
    </row>
    <row r="210" spans="1:1">
      <c r="A210" s="1" t="s">
        <v>19</v>
      </c>
    </row>
    <row r="211" spans="1:1">
      <c r="A211" s="1" t="s">
        <v>19</v>
      </c>
    </row>
    <row r="212" spans="1:1">
      <c r="A212" s="1" t="s">
        <v>19</v>
      </c>
    </row>
    <row r="213" spans="1:1">
      <c r="A213" s="1" t="s">
        <v>19</v>
      </c>
    </row>
    <row r="214" spans="1:1">
      <c r="A214" s="1" t="s">
        <v>19</v>
      </c>
    </row>
    <row r="215" spans="1:1">
      <c r="A215" s="1" t="s">
        <v>19</v>
      </c>
    </row>
    <row r="216" spans="1:1">
      <c r="A216" s="1" t="s">
        <v>19</v>
      </c>
    </row>
    <row r="217" spans="1:1">
      <c r="A217" s="1" t="s">
        <v>19</v>
      </c>
    </row>
    <row r="218" spans="1:1">
      <c r="A218" s="1" t="s">
        <v>19</v>
      </c>
    </row>
    <row r="219" spans="1:1">
      <c r="A219" s="1" t="s">
        <v>19</v>
      </c>
    </row>
    <row r="220" spans="1:1">
      <c r="A220" s="1" t="s">
        <v>19</v>
      </c>
    </row>
    <row r="221" spans="1:1">
      <c r="A221" s="1" t="s">
        <v>19</v>
      </c>
    </row>
    <row r="222" spans="1:1">
      <c r="A222" s="1" t="s">
        <v>19</v>
      </c>
    </row>
    <row r="223" spans="1:1">
      <c r="A223" s="1" t="s">
        <v>19</v>
      </c>
    </row>
    <row r="224" spans="1:1">
      <c r="A224" s="1" t="s">
        <v>19</v>
      </c>
    </row>
    <row r="225" spans="1:1">
      <c r="A225" s="1" t="s">
        <v>19</v>
      </c>
    </row>
    <row r="226" spans="1:1">
      <c r="A226" s="1" t="s">
        <v>19</v>
      </c>
    </row>
    <row r="227" spans="1:1">
      <c r="A227" s="1" t="s">
        <v>19</v>
      </c>
    </row>
    <row r="228" spans="1:1">
      <c r="A228" s="1" t="s">
        <v>19</v>
      </c>
    </row>
    <row r="229" spans="1:1">
      <c r="A229" s="1" t="s">
        <v>19</v>
      </c>
    </row>
    <row r="230" spans="1:1">
      <c r="A230" s="1" t="s">
        <v>19</v>
      </c>
    </row>
    <row r="231" spans="1:1">
      <c r="A231" s="1" t="s">
        <v>19</v>
      </c>
    </row>
    <row r="232" spans="1:1">
      <c r="A232" s="1" t="s">
        <v>19</v>
      </c>
    </row>
    <row r="233" spans="1:1">
      <c r="A233" s="1" t="s">
        <v>19</v>
      </c>
    </row>
    <row r="234" spans="1:1">
      <c r="A234" s="1" t="s">
        <v>19</v>
      </c>
    </row>
    <row r="235" spans="1:1">
      <c r="A235" s="1" t="s">
        <v>19</v>
      </c>
    </row>
    <row r="236" spans="1:1">
      <c r="A236" s="1" t="s">
        <v>19</v>
      </c>
    </row>
    <row r="237" spans="1:1">
      <c r="A237" s="1" t="s">
        <v>19</v>
      </c>
    </row>
    <row r="238" spans="1:1">
      <c r="A238" s="1" t="s">
        <v>19</v>
      </c>
    </row>
    <row r="239" spans="1:1">
      <c r="A239" s="1" t="s">
        <v>19</v>
      </c>
    </row>
    <row r="240" spans="1:1">
      <c r="A240" s="1" t="s">
        <v>19</v>
      </c>
    </row>
    <row r="241" spans="1:1">
      <c r="A241" s="1" t="s">
        <v>19</v>
      </c>
    </row>
    <row r="242" spans="1:1">
      <c r="A242" s="1" t="s">
        <v>19</v>
      </c>
    </row>
    <row r="243" spans="1:1">
      <c r="A243" s="1" t="s">
        <v>19</v>
      </c>
    </row>
    <row r="244" spans="1:1">
      <c r="A244" s="1" t="s">
        <v>19</v>
      </c>
    </row>
    <row r="245" spans="1:1">
      <c r="A245" s="1" t="s">
        <v>19</v>
      </c>
    </row>
    <row r="246" spans="1:1">
      <c r="A246" s="1" t="s">
        <v>19</v>
      </c>
    </row>
    <row r="247" spans="1:1">
      <c r="A247" s="1" t="s">
        <v>19</v>
      </c>
    </row>
    <row r="248" spans="1:1">
      <c r="A248" s="1" t="s">
        <v>19</v>
      </c>
    </row>
    <row r="249" spans="1:1">
      <c r="A249" s="1" t="s">
        <v>19</v>
      </c>
    </row>
    <row r="250" spans="1:1">
      <c r="A250" s="1" t="s">
        <v>19</v>
      </c>
    </row>
    <row r="251" spans="1:1">
      <c r="A251" s="1" t="s">
        <v>19</v>
      </c>
    </row>
    <row r="252" spans="1:1">
      <c r="A252" s="1" t="s">
        <v>19</v>
      </c>
    </row>
    <row r="253" spans="1:1">
      <c r="A253" s="1" t="s">
        <v>19</v>
      </c>
    </row>
    <row r="254" spans="1:1">
      <c r="A254" s="1" t="s">
        <v>19</v>
      </c>
    </row>
    <row r="255" spans="1:1">
      <c r="A255" s="1" t="s">
        <v>19</v>
      </c>
    </row>
    <row r="256" spans="1:1">
      <c r="A256" s="1" t="s">
        <v>19</v>
      </c>
    </row>
    <row r="257" spans="1:1">
      <c r="A257" s="1" t="s">
        <v>19</v>
      </c>
    </row>
    <row r="258" spans="1:1">
      <c r="A258" s="1" t="s">
        <v>19</v>
      </c>
    </row>
    <row r="259" spans="1:1">
      <c r="A259" s="1" t="s">
        <v>19</v>
      </c>
    </row>
    <row r="260" spans="1:1">
      <c r="A260" s="1" t="s">
        <v>19</v>
      </c>
    </row>
    <row r="261" spans="1:1">
      <c r="A261" s="1" t="s">
        <v>19</v>
      </c>
    </row>
    <row r="262" spans="1:1">
      <c r="A262" s="1" t="s">
        <v>19</v>
      </c>
    </row>
    <row r="263" spans="1:1">
      <c r="A263" s="1" t="s">
        <v>19</v>
      </c>
    </row>
    <row r="264" spans="1:1">
      <c r="A264" s="1" t="s">
        <v>19</v>
      </c>
    </row>
    <row r="265" spans="1:1">
      <c r="A265" s="1" t="s">
        <v>19</v>
      </c>
    </row>
    <row r="266" spans="1:1">
      <c r="A266" s="1" t="s">
        <v>19</v>
      </c>
    </row>
    <row r="267" spans="1:1">
      <c r="A267" s="1" t="s">
        <v>19</v>
      </c>
    </row>
    <row r="268" spans="1:1">
      <c r="A268" s="1" t="s">
        <v>19</v>
      </c>
    </row>
    <row r="269" spans="1:1">
      <c r="A269" s="1" t="s">
        <v>19</v>
      </c>
    </row>
    <row r="270" spans="1:1">
      <c r="A270" s="1" t="s">
        <v>19</v>
      </c>
    </row>
    <row r="271" spans="1:1">
      <c r="A271" s="1" t="s">
        <v>19</v>
      </c>
    </row>
    <row r="272" spans="1:1">
      <c r="A272" s="1" t="s">
        <v>19</v>
      </c>
    </row>
    <row r="273" spans="1:1">
      <c r="A273" s="1" t="s">
        <v>19</v>
      </c>
    </row>
    <row r="274" spans="1:1">
      <c r="A274" s="1" t="s">
        <v>19</v>
      </c>
    </row>
    <row r="275" spans="1:1">
      <c r="A275" s="1" t="s">
        <v>19</v>
      </c>
    </row>
    <row r="276" spans="1:1">
      <c r="A276" s="1" t="s">
        <v>19</v>
      </c>
    </row>
    <row r="277" spans="1:1">
      <c r="A277" s="1" t="s">
        <v>19</v>
      </c>
    </row>
    <row r="278" spans="1:1">
      <c r="A278" s="1" t="s">
        <v>19</v>
      </c>
    </row>
    <row r="279" spans="1:1">
      <c r="A279" s="1" t="s">
        <v>19</v>
      </c>
    </row>
    <row r="280" spans="1:1">
      <c r="A280" s="1" t="s">
        <v>19</v>
      </c>
    </row>
    <row r="281" spans="1:1">
      <c r="A281" s="1" t="s">
        <v>19</v>
      </c>
    </row>
    <row r="282" spans="1:1">
      <c r="A282" s="1" t="s">
        <v>19</v>
      </c>
    </row>
    <row r="283" spans="1:1">
      <c r="A283" s="1" t="s">
        <v>19</v>
      </c>
    </row>
    <row r="284" spans="1:1">
      <c r="A284" s="1" t="s">
        <v>19</v>
      </c>
    </row>
    <row r="285" spans="1:1">
      <c r="A285" s="1" t="s">
        <v>19</v>
      </c>
    </row>
    <row r="286" spans="1:1">
      <c r="A286" s="1" t="s">
        <v>19</v>
      </c>
    </row>
    <row r="287" spans="1:1">
      <c r="A287" s="1" t="s">
        <v>19</v>
      </c>
    </row>
    <row r="288" spans="1:1">
      <c r="A288" s="1" t="s">
        <v>19</v>
      </c>
    </row>
    <row r="289" spans="1:1">
      <c r="A289" s="1" t="s">
        <v>19</v>
      </c>
    </row>
    <row r="290" spans="1:1">
      <c r="A290" s="1" t="s">
        <v>19</v>
      </c>
    </row>
    <row r="291" spans="1:1">
      <c r="A291" s="1" t="s">
        <v>19</v>
      </c>
    </row>
    <row r="292" spans="1:1">
      <c r="A292" s="1" t="s">
        <v>19</v>
      </c>
    </row>
    <row r="293" spans="1:1">
      <c r="A293" s="1" t="s">
        <v>19</v>
      </c>
    </row>
    <row r="294" spans="1:1">
      <c r="A294" s="1" t="s">
        <v>19</v>
      </c>
    </row>
    <row r="295" spans="1:1">
      <c r="A295" s="1" t="s">
        <v>19</v>
      </c>
    </row>
    <row r="296" spans="1:1">
      <c r="A296" s="1" t="s">
        <v>19</v>
      </c>
    </row>
    <row r="297" spans="1:1">
      <c r="A297" s="1" t="s">
        <v>19</v>
      </c>
    </row>
    <row r="298" spans="1:1">
      <c r="A298" s="1" t="s">
        <v>19</v>
      </c>
    </row>
    <row r="299" spans="1:1">
      <c r="A299" s="1" t="s">
        <v>19</v>
      </c>
    </row>
    <row r="300" spans="1:1">
      <c r="A300" s="1" t="s">
        <v>19</v>
      </c>
    </row>
    <row r="301" spans="1:1">
      <c r="A301" s="1" t="s">
        <v>19</v>
      </c>
    </row>
    <row r="302" spans="1:1">
      <c r="A302" s="1" t="s">
        <v>19</v>
      </c>
    </row>
    <row r="303" spans="1:1">
      <c r="A303" s="1" t="s">
        <v>19</v>
      </c>
    </row>
    <row r="304" spans="1:1">
      <c r="A304" s="1" t="s">
        <v>19</v>
      </c>
    </row>
    <row r="305" spans="1:1">
      <c r="A305" s="1" t="s">
        <v>19</v>
      </c>
    </row>
    <row r="306" spans="1:1">
      <c r="A306" s="1" t="s">
        <v>19</v>
      </c>
    </row>
    <row r="307" spans="1:1">
      <c r="A307" s="1" t="s">
        <v>19</v>
      </c>
    </row>
    <row r="308" spans="1:1">
      <c r="A308" s="1" t="s">
        <v>19</v>
      </c>
    </row>
    <row r="309" spans="1:1">
      <c r="A309" s="1" t="s">
        <v>19</v>
      </c>
    </row>
    <row r="310" spans="1:1">
      <c r="A310" s="1" t="s">
        <v>19</v>
      </c>
    </row>
    <row r="311" spans="1:1">
      <c r="A311" s="1" t="s">
        <v>19</v>
      </c>
    </row>
    <row r="312" spans="1:1">
      <c r="A312" s="1" t="s">
        <v>19</v>
      </c>
    </row>
    <row r="313" spans="1:1">
      <c r="A313" s="1" t="s">
        <v>19</v>
      </c>
    </row>
    <row r="314" spans="1:1">
      <c r="A314" s="1" t="s">
        <v>19</v>
      </c>
    </row>
    <row r="315" spans="1:1">
      <c r="A315" s="1" t="s">
        <v>19</v>
      </c>
    </row>
    <row r="316" spans="1:1">
      <c r="A316" s="1" t="s">
        <v>19</v>
      </c>
    </row>
    <row r="317" spans="1:1">
      <c r="A317" s="1" t="s">
        <v>19</v>
      </c>
    </row>
    <row r="318" spans="1:1">
      <c r="A318" s="1" t="s">
        <v>19</v>
      </c>
    </row>
    <row r="319" spans="1:1">
      <c r="A319" s="1" t="s">
        <v>19</v>
      </c>
    </row>
    <row r="320" spans="1:1">
      <c r="A320" s="1" t="s">
        <v>19</v>
      </c>
    </row>
    <row r="321" spans="1:1">
      <c r="A321" s="1" t="s">
        <v>19</v>
      </c>
    </row>
    <row r="322" spans="1:1">
      <c r="A322" s="1" t="s">
        <v>19</v>
      </c>
    </row>
    <row r="323" spans="1:1">
      <c r="A323" s="1" t="s">
        <v>19</v>
      </c>
    </row>
    <row r="324" spans="1:1">
      <c r="A324" s="1" t="s">
        <v>19</v>
      </c>
    </row>
    <row r="325" spans="1:1">
      <c r="A325" s="1" t="s">
        <v>19</v>
      </c>
    </row>
    <row r="326" spans="1:1">
      <c r="A326" s="1" t="s">
        <v>19</v>
      </c>
    </row>
    <row r="327" spans="1:1">
      <c r="A327" s="1" t="s">
        <v>19</v>
      </c>
    </row>
    <row r="328" spans="1:1">
      <c r="A328" s="1" t="s">
        <v>19</v>
      </c>
    </row>
    <row r="329" spans="1:1">
      <c r="A329" s="1" t="s">
        <v>19</v>
      </c>
    </row>
    <row r="330" spans="1:1">
      <c r="A330" s="1" t="s">
        <v>19</v>
      </c>
    </row>
    <row r="331" spans="1:1">
      <c r="A331" s="1" t="s">
        <v>19</v>
      </c>
    </row>
    <row r="332" spans="1:1">
      <c r="A332" s="1" t="s">
        <v>19</v>
      </c>
    </row>
    <row r="333" spans="1:1">
      <c r="A333" s="1" t="s">
        <v>19</v>
      </c>
    </row>
    <row r="334" spans="1:1">
      <c r="A334" s="1" t="s">
        <v>19</v>
      </c>
    </row>
    <row r="335" spans="1:1">
      <c r="A335" s="1" t="s">
        <v>19</v>
      </c>
    </row>
    <row r="336" spans="1:1">
      <c r="A336" s="1" t="s">
        <v>19</v>
      </c>
    </row>
    <row r="337" spans="1:1">
      <c r="A337" s="1" t="s">
        <v>19</v>
      </c>
    </row>
    <row r="338" spans="1:1">
      <c r="A338" s="1" t="s">
        <v>19</v>
      </c>
    </row>
    <row r="339" spans="1:1">
      <c r="A339" s="1" t="s">
        <v>19</v>
      </c>
    </row>
    <row r="340" spans="1:1">
      <c r="A340" s="1" t="s">
        <v>19</v>
      </c>
    </row>
    <row r="341" spans="1:1">
      <c r="A341" s="1" t="s">
        <v>19</v>
      </c>
    </row>
    <row r="342" spans="1:1">
      <c r="A342" s="1" t="s">
        <v>19</v>
      </c>
    </row>
    <row r="343" spans="1:1">
      <c r="A343" s="1" t="s">
        <v>19</v>
      </c>
    </row>
    <row r="344" spans="1:1">
      <c r="A344" s="1" t="s">
        <v>19</v>
      </c>
    </row>
    <row r="345" spans="1:1">
      <c r="A345" s="1" t="s">
        <v>19</v>
      </c>
    </row>
    <row r="346" spans="1:1">
      <c r="A346" s="1" t="s">
        <v>19</v>
      </c>
    </row>
    <row r="347" spans="1:1">
      <c r="A347" s="1" t="s">
        <v>19</v>
      </c>
    </row>
    <row r="348" spans="1:1">
      <c r="A348" s="1" t="s">
        <v>19</v>
      </c>
    </row>
    <row r="349" spans="1:1">
      <c r="A349" s="1" t="s">
        <v>19</v>
      </c>
    </row>
    <row r="350" spans="1:1">
      <c r="A350" s="1" t="s">
        <v>19</v>
      </c>
    </row>
    <row r="351" spans="1:1">
      <c r="A351" s="1" t="s">
        <v>19</v>
      </c>
    </row>
    <row r="352" spans="1:1">
      <c r="A352" s="1" t="s">
        <v>19</v>
      </c>
    </row>
    <row r="353" spans="1:1">
      <c r="A353" s="1" t="s">
        <v>19</v>
      </c>
    </row>
    <row r="354" spans="1:1">
      <c r="A354" s="1" t="s">
        <v>19</v>
      </c>
    </row>
    <row r="355" spans="1:1">
      <c r="A355" s="1" t="s">
        <v>19</v>
      </c>
    </row>
    <row r="356" spans="1:1">
      <c r="A356" s="1" t="s">
        <v>19</v>
      </c>
    </row>
    <row r="357" spans="1:1">
      <c r="A357" s="1" t="s">
        <v>19</v>
      </c>
    </row>
    <row r="358" spans="1:1">
      <c r="A358" s="1" t="s">
        <v>19</v>
      </c>
    </row>
    <row r="359" spans="1:1">
      <c r="A359" s="1" t="s">
        <v>19</v>
      </c>
    </row>
    <row r="360" spans="1:1">
      <c r="A360" s="1" t="s">
        <v>19</v>
      </c>
    </row>
    <row r="361" spans="1:1">
      <c r="A361" s="1" t="s">
        <v>19</v>
      </c>
    </row>
    <row r="362" spans="1:1">
      <c r="A362" s="1" t="s">
        <v>19</v>
      </c>
    </row>
    <row r="363" spans="1:1">
      <c r="A363" s="1" t="s">
        <v>19</v>
      </c>
    </row>
    <row r="364" spans="1:1">
      <c r="A364" s="1" t="s">
        <v>19</v>
      </c>
    </row>
    <row r="365" spans="1:1">
      <c r="A365" s="1" t="s">
        <v>19</v>
      </c>
    </row>
    <row r="366" spans="1:1">
      <c r="A366" s="1" t="s">
        <v>19</v>
      </c>
    </row>
    <row r="367" spans="1:1">
      <c r="A367" s="1" t="s">
        <v>19</v>
      </c>
    </row>
    <row r="368" spans="1:1">
      <c r="A368" s="1" t="s">
        <v>19</v>
      </c>
    </row>
    <row r="369" spans="1:1">
      <c r="A369" s="1" t="s">
        <v>19</v>
      </c>
    </row>
    <row r="370" spans="1:1">
      <c r="A370" s="1" t="s">
        <v>19</v>
      </c>
    </row>
    <row r="371" spans="1:1">
      <c r="A371" s="1" t="s">
        <v>19</v>
      </c>
    </row>
    <row r="372" spans="1:1">
      <c r="A372" s="1" t="s">
        <v>19</v>
      </c>
    </row>
    <row r="373" spans="1:1">
      <c r="A373" s="1" t="s">
        <v>19</v>
      </c>
    </row>
    <row r="374" spans="1:1">
      <c r="A374" s="1" t="s">
        <v>19</v>
      </c>
    </row>
    <row r="375" spans="1:1">
      <c r="A375" s="1" t="s">
        <v>19</v>
      </c>
    </row>
    <row r="376" spans="1:1">
      <c r="A376" s="1" t="s">
        <v>19</v>
      </c>
    </row>
    <row r="377" spans="1:1">
      <c r="A377" s="1" t="s">
        <v>19</v>
      </c>
    </row>
    <row r="378" spans="1:1">
      <c r="A378" s="1" t="s">
        <v>19</v>
      </c>
    </row>
    <row r="379" spans="1:1">
      <c r="A379" s="1" t="s">
        <v>19</v>
      </c>
    </row>
    <row r="380" spans="1:1">
      <c r="A380" s="1" t="s">
        <v>19</v>
      </c>
    </row>
    <row r="381" spans="1:1">
      <c r="A381" s="1" t="s">
        <v>19</v>
      </c>
    </row>
    <row r="382" spans="1:1">
      <c r="A382" s="1" t="s">
        <v>19</v>
      </c>
    </row>
    <row r="383" spans="1:1">
      <c r="A383" s="1" t="s">
        <v>19</v>
      </c>
    </row>
    <row r="384" spans="1:1">
      <c r="A384" s="1" t="s">
        <v>19</v>
      </c>
    </row>
    <row r="385" spans="1:1">
      <c r="A385" s="1" t="s">
        <v>19</v>
      </c>
    </row>
    <row r="386" spans="1:1">
      <c r="A386" s="1" t="s">
        <v>19</v>
      </c>
    </row>
    <row r="387" spans="1:1">
      <c r="A387" s="1" t="s">
        <v>19</v>
      </c>
    </row>
    <row r="388" spans="1:1">
      <c r="A388" s="1" t="s">
        <v>19</v>
      </c>
    </row>
    <row r="389" spans="1:1">
      <c r="A389" s="1" t="s">
        <v>19</v>
      </c>
    </row>
    <row r="390" spans="1:1">
      <c r="A390" s="1" t="s">
        <v>19</v>
      </c>
    </row>
    <row r="391" spans="1:1">
      <c r="A391" s="1" t="s">
        <v>19</v>
      </c>
    </row>
    <row r="392" spans="1:1">
      <c r="A392" s="1" t="s">
        <v>19</v>
      </c>
    </row>
    <row r="393" spans="1:1">
      <c r="A393" s="1" t="s">
        <v>19</v>
      </c>
    </row>
    <row r="394" spans="1:1">
      <c r="A394" s="1" t="s">
        <v>19</v>
      </c>
    </row>
    <row r="395" spans="1:1">
      <c r="A395" s="1" t="s">
        <v>19</v>
      </c>
    </row>
    <row r="396" spans="1:1">
      <c r="A396" s="1" t="s">
        <v>19</v>
      </c>
    </row>
    <row r="397" spans="1:1">
      <c r="A397" s="1" t="s">
        <v>19</v>
      </c>
    </row>
    <row r="398" spans="1:1">
      <c r="A398" s="1" t="s">
        <v>19</v>
      </c>
    </row>
    <row r="399" spans="1:1">
      <c r="A399" s="1" t="s">
        <v>19</v>
      </c>
    </row>
    <row r="400" spans="1:1">
      <c r="A400" s="1" t="s">
        <v>19</v>
      </c>
    </row>
    <row r="401" spans="1:1">
      <c r="A401" s="1" t="s">
        <v>19</v>
      </c>
    </row>
    <row r="402" spans="1:1">
      <c r="A402" s="1" t="s">
        <v>19</v>
      </c>
    </row>
    <row r="403" spans="1:1">
      <c r="A403" s="1" t="s">
        <v>19</v>
      </c>
    </row>
    <row r="404" spans="1:1">
      <c r="A404" s="1" t="s">
        <v>19</v>
      </c>
    </row>
    <row r="405" spans="1:1">
      <c r="A405" s="1" t="s">
        <v>19</v>
      </c>
    </row>
    <row r="406" spans="1:1">
      <c r="A406" s="1" t="s">
        <v>19</v>
      </c>
    </row>
    <row r="407" spans="1:1">
      <c r="A407" s="1" t="s">
        <v>19</v>
      </c>
    </row>
    <row r="408" spans="1:1">
      <c r="A408" s="1" t="s">
        <v>19</v>
      </c>
    </row>
    <row r="409" spans="1:1">
      <c r="A409" s="1" t="s">
        <v>19</v>
      </c>
    </row>
    <row r="410" spans="1:1">
      <c r="A410" s="1" t="s">
        <v>19</v>
      </c>
    </row>
    <row r="411" spans="1:1">
      <c r="A411" s="1" t="s">
        <v>19</v>
      </c>
    </row>
    <row r="412" spans="1:1">
      <c r="A412" s="1" t="s">
        <v>19</v>
      </c>
    </row>
    <row r="413" spans="1:1">
      <c r="A413" s="1" t="s">
        <v>19</v>
      </c>
    </row>
    <row r="414" spans="1:1">
      <c r="A414" s="1" t="s">
        <v>19</v>
      </c>
    </row>
    <row r="415" spans="1:1">
      <c r="A415" s="1" t="s">
        <v>19</v>
      </c>
    </row>
    <row r="416" spans="1:1">
      <c r="A416" s="1" t="s">
        <v>19</v>
      </c>
    </row>
    <row r="417" spans="1:1">
      <c r="A417" s="1" t="s">
        <v>19</v>
      </c>
    </row>
    <row r="418" spans="1:1">
      <c r="A418" s="1" t="s">
        <v>19</v>
      </c>
    </row>
    <row r="419" spans="1:1">
      <c r="A419" s="1" t="s">
        <v>19</v>
      </c>
    </row>
    <row r="420" spans="1:1">
      <c r="A420" s="1" t="s">
        <v>19</v>
      </c>
    </row>
    <row r="421" spans="1:1">
      <c r="A421" s="1" t="s">
        <v>19</v>
      </c>
    </row>
    <row r="422" spans="1:1">
      <c r="A422" s="1" t="s">
        <v>19</v>
      </c>
    </row>
    <row r="423" spans="1:1">
      <c r="A423" s="1" t="s">
        <v>19</v>
      </c>
    </row>
    <row r="424" spans="1:1">
      <c r="A424" s="1" t="s">
        <v>19</v>
      </c>
    </row>
    <row r="425" spans="1:1">
      <c r="A425" s="1" t="s">
        <v>19</v>
      </c>
    </row>
    <row r="426" spans="1:1">
      <c r="A426" s="1" t="s">
        <v>19</v>
      </c>
    </row>
    <row r="427" spans="1:1">
      <c r="A427" s="1" t="s">
        <v>19</v>
      </c>
    </row>
    <row r="428" spans="1:1">
      <c r="A428" s="1" t="s">
        <v>19</v>
      </c>
    </row>
    <row r="429" spans="1:1">
      <c r="A429" s="1" t="s">
        <v>19</v>
      </c>
    </row>
    <row r="430" spans="1:1">
      <c r="A430" s="1" t="s">
        <v>19</v>
      </c>
    </row>
    <row r="431" spans="1:1">
      <c r="A431" s="1" t="s">
        <v>19</v>
      </c>
    </row>
    <row r="432" spans="1:1">
      <c r="A432" s="1" t="s">
        <v>19</v>
      </c>
    </row>
    <row r="433" spans="1:1">
      <c r="A433" s="1" t="s">
        <v>19</v>
      </c>
    </row>
    <row r="434" spans="1:1">
      <c r="A434" s="1" t="s">
        <v>19</v>
      </c>
    </row>
    <row r="435" spans="1:1">
      <c r="A435" s="1" t="s">
        <v>19</v>
      </c>
    </row>
    <row r="436" spans="1:1">
      <c r="A436" s="1" t="s">
        <v>19</v>
      </c>
    </row>
    <row r="437" spans="1:1">
      <c r="A437" s="1" t="s">
        <v>19</v>
      </c>
    </row>
    <row r="438" spans="1:1">
      <c r="A438" s="1" t="s">
        <v>19</v>
      </c>
    </row>
    <row r="439" spans="1:1">
      <c r="A439" s="1" t="s">
        <v>19</v>
      </c>
    </row>
    <row r="440" spans="1:1">
      <c r="A440" s="1" t="s">
        <v>19</v>
      </c>
    </row>
    <row r="441" spans="1:1">
      <c r="A441" s="1" t="s">
        <v>19</v>
      </c>
    </row>
    <row r="442" spans="1:1">
      <c r="A442" s="1" t="s">
        <v>19</v>
      </c>
    </row>
    <row r="443" spans="1:1">
      <c r="A443" s="1" t="s">
        <v>19</v>
      </c>
    </row>
    <row r="444" spans="1:1">
      <c r="A444" s="1" t="s">
        <v>19</v>
      </c>
    </row>
    <row r="445" spans="1:1">
      <c r="A445" s="1" t="s">
        <v>19</v>
      </c>
    </row>
    <row r="446" spans="1:1">
      <c r="A446" s="1" t="s">
        <v>19</v>
      </c>
    </row>
    <row r="447" spans="1:1">
      <c r="A447" s="1" t="s">
        <v>19</v>
      </c>
    </row>
    <row r="448" spans="1:1">
      <c r="A448" s="1" t="s">
        <v>19</v>
      </c>
    </row>
    <row r="449" spans="1:1">
      <c r="A449" s="1" t="s">
        <v>19</v>
      </c>
    </row>
    <row r="450" spans="1:1">
      <c r="A450" s="1" t="s">
        <v>19</v>
      </c>
    </row>
    <row r="451" spans="1:1">
      <c r="A451" s="1" t="s">
        <v>19</v>
      </c>
    </row>
    <row r="452" spans="1:1">
      <c r="A452" s="1" t="s">
        <v>19</v>
      </c>
    </row>
    <row r="453" spans="1:1">
      <c r="A453" s="1" t="s">
        <v>19</v>
      </c>
    </row>
    <row r="454" spans="1:1">
      <c r="A454" s="1" t="s">
        <v>19</v>
      </c>
    </row>
    <row r="455" spans="1:1">
      <c r="A455" s="1" t="s">
        <v>19</v>
      </c>
    </row>
    <row r="456" spans="1:1">
      <c r="A456" s="1" t="s">
        <v>19</v>
      </c>
    </row>
    <row r="457" spans="1:1">
      <c r="A457" s="1" t="s">
        <v>19</v>
      </c>
    </row>
    <row r="458" spans="1:1">
      <c r="A458" s="1" t="s">
        <v>19</v>
      </c>
    </row>
    <row r="459" spans="1:1">
      <c r="A459" s="1" t="s">
        <v>19</v>
      </c>
    </row>
    <row r="460" spans="1:1">
      <c r="A460" s="1" t="s">
        <v>19</v>
      </c>
    </row>
    <row r="461" spans="1:1">
      <c r="A461" s="1" t="s">
        <v>19</v>
      </c>
    </row>
    <row r="462" spans="1:1">
      <c r="A462" s="1" t="s">
        <v>19</v>
      </c>
    </row>
    <row r="463" spans="1:1">
      <c r="A463" s="1" t="s">
        <v>19</v>
      </c>
    </row>
    <row r="464" spans="1:1">
      <c r="A464" s="1" t="s">
        <v>19</v>
      </c>
    </row>
    <row r="465" spans="1:1">
      <c r="A465" s="1" t="s">
        <v>19</v>
      </c>
    </row>
    <row r="466" spans="1:1">
      <c r="A466" s="1" t="s">
        <v>19</v>
      </c>
    </row>
    <row r="467" spans="1:1">
      <c r="A467" s="1" t="s">
        <v>19</v>
      </c>
    </row>
    <row r="468" spans="1:1">
      <c r="A468" s="1" t="s">
        <v>19</v>
      </c>
    </row>
    <row r="469" spans="1:1">
      <c r="A469" s="1" t="s">
        <v>19</v>
      </c>
    </row>
    <row r="470" spans="1:1">
      <c r="A470" s="1" t="s">
        <v>19</v>
      </c>
    </row>
    <row r="471" spans="1:1">
      <c r="A471" s="1" t="s">
        <v>19</v>
      </c>
    </row>
    <row r="472" spans="1:1">
      <c r="A472" s="1" t="s">
        <v>19</v>
      </c>
    </row>
    <row r="473" spans="1:1">
      <c r="A473" s="1" t="s">
        <v>19</v>
      </c>
    </row>
    <row r="474" spans="1:1">
      <c r="A474" s="1" t="s">
        <v>19</v>
      </c>
    </row>
    <row r="475" spans="1:1">
      <c r="A475" s="1" t="s">
        <v>19</v>
      </c>
    </row>
    <row r="476" spans="1:1">
      <c r="A476" s="1" t="s">
        <v>19</v>
      </c>
    </row>
    <row r="477" spans="1:1">
      <c r="A477" s="1" t="s">
        <v>19</v>
      </c>
    </row>
    <row r="478" spans="1:1">
      <c r="A478" s="1" t="s">
        <v>19</v>
      </c>
    </row>
    <row r="479" spans="1:1">
      <c r="A479" s="1" t="s">
        <v>19</v>
      </c>
    </row>
    <row r="480" spans="1:1">
      <c r="A480" s="1" t="s">
        <v>19</v>
      </c>
    </row>
    <row r="481" spans="1:1">
      <c r="A481" s="1" t="s">
        <v>19</v>
      </c>
    </row>
    <row r="482" spans="1:1">
      <c r="A482" s="1" t="s">
        <v>19</v>
      </c>
    </row>
    <row r="483" spans="1:1">
      <c r="A483" s="1" t="s">
        <v>19</v>
      </c>
    </row>
    <row r="484" spans="1:1">
      <c r="A484" s="1" t="s">
        <v>19</v>
      </c>
    </row>
    <row r="485" spans="1:1">
      <c r="A485" s="1" t="s">
        <v>19</v>
      </c>
    </row>
    <row r="486" spans="1:1">
      <c r="A486" s="1" t="s">
        <v>19</v>
      </c>
    </row>
    <row r="487" spans="1:1">
      <c r="A487" s="1" t="s">
        <v>19</v>
      </c>
    </row>
    <row r="488" spans="1:1">
      <c r="A488" s="1" t="s">
        <v>19</v>
      </c>
    </row>
    <row r="489" spans="1:1">
      <c r="A489" s="1" t="s">
        <v>19</v>
      </c>
    </row>
    <row r="490" spans="1:1">
      <c r="A490" s="1" t="s">
        <v>19</v>
      </c>
    </row>
    <row r="491" spans="1:1">
      <c r="A491" s="1" t="s">
        <v>19</v>
      </c>
    </row>
    <row r="492" spans="1:1">
      <c r="A492" s="1" t="s">
        <v>19</v>
      </c>
    </row>
    <row r="493" spans="1:1">
      <c r="A493" s="1" t="s">
        <v>19</v>
      </c>
    </row>
    <row r="494" spans="1:1">
      <c r="A494" s="1" t="s">
        <v>19</v>
      </c>
    </row>
    <row r="495" spans="1:1">
      <c r="A495" s="1" t="s">
        <v>19</v>
      </c>
    </row>
    <row r="496" spans="1:1">
      <c r="A496" s="1" t="s">
        <v>19</v>
      </c>
    </row>
    <row r="497" spans="1:1">
      <c r="A497" s="1" t="s">
        <v>19</v>
      </c>
    </row>
    <row r="498" spans="1:1">
      <c r="A498" s="1" t="s">
        <v>19</v>
      </c>
    </row>
    <row r="499" spans="1:1">
      <c r="A499" s="1" t="s">
        <v>19</v>
      </c>
    </row>
    <row r="500" spans="1:1">
      <c r="A500" s="1" t="s">
        <v>19</v>
      </c>
    </row>
    <row r="501" spans="1:1">
      <c r="A501" s="1" t="s">
        <v>19</v>
      </c>
    </row>
    <row r="502" spans="1:1">
      <c r="A502" s="1" t="s">
        <v>19</v>
      </c>
    </row>
    <row r="503" spans="1:1">
      <c r="A503" s="1" t="s">
        <v>19</v>
      </c>
    </row>
    <row r="504" spans="1:1">
      <c r="A504" s="1" t="s">
        <v>19</v>
      </c>
    </row>
    <row r="505" spans="1:1">
      <c r="A505" s="1" t="s">
        <v>19</v>
      </c>
    </row>
    <row r="506" spans="1:1">
      <c r="A506" s="1" t="s">
        <v>19</v>
      </c>
    </row>
    <row r="507" spans="1:1">
      <c r="A507" s="1" t="s">
        <v>19</v>
      </c>
    </row>
    <row r="508" spans="1:1">
      <c r="A508" s="1" t="s">
        <v>19</v>
      </c>
    </row>
    <row r="509" spans="1:1">
      <c r="A509" s="1" t="s">
        <v>19</v>
      </c>
    </row>
    <row r="510" spans="1:1">
      <c r="A510" s="1" t="s">
        <v>19</v>
      </c>
    </row>
    <row r="511" spans="1:1">
      <c r="A511" s="1" t="s">
        <v>19</v>
      </c>
    </row>
    <row r="512" spans="1:1">
      <c r="A512" s="1" t="s">
        <v>19</v>
      </c>
    </row>
    <row r="513" spans="1:1">
      <c r="A513" s="1" t="s">
        <v>19</v>
      </c>
    </row>
    <row r="514" spans="1:1">
      <c r="A514" s="1" t="s">
        <v>19</v>
      </c>
    </row>
    <row r="515" spans="1:1">
      <c r="A515" s="1" t="s">
        <v>19</v>
      </c>
    </row>
    <row r="516" spans="1:1">
      <c r="A516" s="1" t="s">
        <v>19</v>
      </c>
    </row>
    <row r="517" spans="1:1">
      <c r="A517" s="1" t="s">
        <v>19</v>
      </c>
    </row>
    <row r="518" spans="1:1">
      <c r="A518" s="1" t="s">
        <v>19</v>
      </c>
    </row>
    <row r="519" spans="1:1">
      <c r="A519" s="1" t="s">
        <v>19</v>
      </c>
    </row>
    <row r="520" spans="1:1">
      <c r="A520" s="1" t="s">
        <v>19</v>
      </c>
    </row>
    <row r="521" spans="1:1">
      <c r="A521" s="1" t="s">
        <v>19</v>
      </c>
    </row>
    <row r="522" spans="1:1">
      <c r="A522" s="1" t="s">
        <v>19</v>
      </c>
    </row>
    <row r="523" spans="1:1">
      <c r="A523" s="1" t="s">
        <v>19</v>
      </c>
    </row>
    <row r="524" spans="1:1">
      <c r="A524" s="1" t="s">
        <v>19</v>
      </c>
    </row>
    <row r="525" spans="1:1">
      <c r="A525" s="1" t="s">
        <v>19</v>
      </c>
    </row>
    <row r="526" spans="1:1">
      <c r="A526" s="1" t="s">
        <v>19</v>
      </c>
    </row>
    <row r="527" spans="1:1">
      <c r="A527" s="1" t="s">
        <v>19</v>
      </c>
    </row>
    <row r="528" spans="1:1">
      <c r="A528" s="1" t="s">
        <v>19</v>
      </c>
    </row>
    <row r="529" spans="1:1">
      <c r="A529" s="1" t="s">
        <v>19</v>
      </c>
    </row>
    <row r="530" spans="1:1">
      <c r="A530" s="1" t="s">
        <v>19</v>
      </c>
    </row>
    <row r="531" spans="1:1">
      <c r="A531" s="1" t="s">
        <v>19</v>
      </c>
    </row>
    <row r="532" spans="1:1">
      <c r="A532" s="1" t="s">
        <v>19</v>
      </c>
    </row>
    <row r="533" spans="1:1">
      <c r="A533" s="1" t="s">
        <v>19</v>
      </c>
    </row>
    <row r="534" spans="1:1">
      <c r="A534" s="1" t="s">
        <v>19</v>
      </c>
    </row>
    <row r="535" spans="1:1">
      <c r="A535" s="1" t="s">
        <v>19</v>
      </c>
    </row>
    <row r="536" spans="1:1">
      <c r="A536" s="1" t="s">
        <v>19</v>
      </c>
    </row>
    <row r="537" spans="1:1">
      <c r="A537" s="1" t="s">
        <v>19</v>
      </c>
    </row>
    <row r="538" spans="1:1">
      <c r="A538" s="1" t="s">
        <v>19</v>
      </c>
    </row>
    <row r="539" spans="1:1">
      <c r="A539" s="1" t="s">
        <v>19</v>
      </c>
    </row>
    <row r="540" spans="1:1">
      <c r="A540" s="1" t="s">
        <v>19</v>
      </c>
    </row>
    <row r="541" spans="1:1">
      <c r="A541" s="1" t="s">
        <v>19</v>
      </c>
    </row>
    <row r="542" spans="1:1">
      <c r="A542" s="1" t="s">
        <v>19</v>
      </c>
    </row>
    <row r="543" spans="1:1">
      <c r="A543" s="1" t="s">
        <v>19</v>
      </c>
    </row>
    <row r="544" spans="1:1">
      <c r="A544" s="1" t="s">
        <v>19</v>
      </c>
    </row>
    <row r="545" spans="1:1">
      <c r="A545" s="1" t="s">
        <v>19</v>
      </c>
    </row>
    <row r="546" spans="1:1">
      <c r="A546" s="1" t="s">
        <v>19</v>
      </c>
    </row>
    <row r="547" spans="1:1">
      <c r="A547" s="1" t="s">
        <v>19</v>
      </c>
    </row>
    <row r="548" spans="1:1">
      <c r="A548" s="1" t="s">
        <v>19</v>
      </c>
    </row>
    <row r="549" spans="1:1">
      <c r="A549" s="1" t="s">
        <v>19</v>
      </c>
    </row>
    <row r="550" spans="1:1">
      <c r="A550" s="1" t="s">
        <v>19</v>
      </c>
    </row>
    <row r="551" spans="1:1">
      <c r="A551" s="1" t="s">
        <v>19</v>
      </c>
    </row>
    <row r="552" spans="1:1">
      <c r="A552" s="1" t="s">
        <v>19</v>
      </c>
    </row>
    <row r="553" spans="1:1">
      <c r="A553" s="1" t="s">
        <v>19</v>
      </c>
    </row>
    <row r="554" spans="1:1">
      <c r="A554" s="1" t="s">
        <v>19</v>
      </c>
    </row>
    <row r="555" spans="1:1">
      <c r="A555" s="1" t="s">
        <v>19</v>
      </c>
    </row>
    <row r="556" spans="1:1">
      <c r="A556" s="1" t="s">
        <v>19</v>
      </c>
    </row>
    <row r="557" spans="1:1">
      <c r="A557" s="1" t="s">
        <v>19</v>
      </c>
    </row>
    <row r="558" spans="1:1">
      <c r="A558" s="1" t="s">
        <v>19</v>
      </c>
    </row>
    <row r="559" spans="1:1">
      <c r="A559" s="1" t="s">
        <v>19</v>
      </c>
    </row>
    <row r="560" spans="1:1">
      <c r="A560" s="1" t="s">
        <v>19</v>
      </c>
    </row>
    <row r="561" spans="1:1">
      <c r="A561" s="1" t="s">
        <v>19</v>
      </c>
    </row>
    <row r="562" spans="1:1">
      <c r="A562" s="1" t="s">
        <v>19</v>
      </c>
    </row>
    <row r="563" spans="1:1">
      <c r="A563" s="1" t="s">
        <v>19</v>
      </c>
    </row>
    <row r="564" spans="1:1">
      <c r="A564" s="1" t="s">
        <v>19</v>
      </c>
    </row>
    <row r="565" spans="1:1">
      <c r="A565" s="1" t="s">
        <v>19</v>
      </c>
    </row>
    <row r="566" spans="1:1">
      <c r="A566" s="1" t="s">
        <v>19</v>
      </c>
    </row>
    <row r="567" spans="1:1">
      <c r="A567" s="1" t="s">
        <v>19</v>
      </c>
    </row>
    <row r="568" spans="1:1">
      <c r="A568" s="1" t="s">
        <v>19</v>
      </c>
    </row>
    <row r="569" spans="1:1">
      <c r="A569" s="1" t="s">
        <v>19</v>
      </c>
    </row>
    <row r="570" spans="1:1">
      <c r="A570" s="1" t="s">
        <v>19</v>
      </c>
    </row>
    <row r="571" spans="1:1">
      <c r="A571" s="1" t="s">
        <v>19</v>
      </c>
    </row>
    <row r="572" spans="1:1">
      <c r="A572" s="1" t="s">
        <v>19</v>
      </c>
    </row>
    <row r="573" spans="1:1">
      <c r="A573" s="1" t="s">
        <v>19</v>
      </c>
    </row>
    <row r="574" spans="1:1">
      <c r="A574" s="1" t="s">
        <v>19</v>
      </c>
    </row>
    <row r="575" spans="1:1">
      <c r="A575" s="1" t="s">
        <v>19</v>
      </c>
    </row>
    <row r="576" spans="1:1">
      <c r="A576" s="1" t="s">
        <v>19</v>
      </c>
    </row>
    <row r="577" spans="1:1">
      <c r="A577" s="1" t="s">
        <v>19</v>
      </c>
    </row>
    <row r="578" spans="1:1">
      <c r="A578" s="1" t="s">
        <v>19</v>
      </c>
    </row>
    <row r="579" spans="1:1">
      <c r="A579" s="1" t="s">
        <v>19</v>
      </c>
    </row>
    <row r="580" spans="1:1">
      <c r="A580" s="1" t="s">
        <v>19</v>
      </c>
    </row>
    <row r="581" spans="1:1">
      <c r="A581" s="1" t="s">
        <v>19</v>
      </c>
    </row>
    <row r="582" spans="1:1">
      <c r="A582" s="1" t="s">
        <v>19</v>
      </c>
    </row>
    <row r="583" spans="1:1">
      <c r="A583" s="1" t="s">
        <v>19</v>
      </c>
    </row>
    <row r="584" spans="1:1">
      <c r="A584" s="1" t="s">
        <v>19</v>
      </c>
    </row>
    <row r="585" spans="1:1">
      <c r="A585" s="1" t="s">
        <v>19</v>
      </c>
    </row>
    <row r="586" spans="1:1">
      <c r="A586" s="1" t="s">
        <v>19</v>
      </c>
    </row>
    <row r="587" spans="1:1">
      <c r="A587" s="1" t="s">
        <v>19</v>
      </c>
    </row>
    <row r="588" spans="1:1">
      <c r="A588" s="1" t="s">
        <v>19</v>
      </c>
    </row>
    <row r="589" spans="1:1">
      <c r="A589" s="1" t="s">
        <v>19</v>
      </c>
    </row>
    <row r="590" spans="1:1">
      <c r="A590" s="1" t="s">
        <v>19</v>
      </c>
    </row>
    <row r="591" spans="1:1">
      <c r="A591" s="1" t="s">
        <v>19</v>
      </c>
    </row>
    <row r="592" spans="1:1">
      <c r="A592" s="1" t="s">
        <v>19</v>
      </c>
    </row>
    <row r="593" spans="1:1">
      <c r="A593" s="1" t="s">
        <v>19</v>
      </c>
    </row>
    <row r="594" spans="1:1">
      <c r="A594" s="1" t="s">
        <v>19</v>
      </c>
    </row>
    <row r="595" spans="1:1">
      <c r="A595" s="1" t="s">
        <v>19</v>
      </c>
    </row>
    <row r="596" spans="1:1">
      <c r="A596" s="1" t="s">
        <v>19</v>
      </c>
    </row>
    <row r="597" spans="1:1">
      <c r="A597" s="1" t="s">
        <v>19</v>
      </c>
    </row>
    <row r="598" spans="1:1">
      <c r="A598" s="1" t="s">
        <v>19</v>
      </c>
    </row>
    <row r="599" spans="1:1">
      <c r="A599" s="1" t="s">
        <v>19</v>
      </c>
    </row>
    <row r="600" spans="1:1">
      <c r="A600" s="1" t="s">
        <v>19</v>
      </c>
    </row>
    <row r="601" spans="1:1">
      <c r="A601" s="1" t="s">
        <v>19</v>
      </c>
    </row>
    <row r="602" spans="1:1">
      <c r="A602" s="1" t="s">
        <v>19</v>
      </c>
    </row>
    <row r="603" spans="1:1">
      <c r="A603" s="1" t="s">
        <v>19</v>
      </c>
    </row>
    <row r="604" spans="1:1">
      <c r="A604" s="1" t="s">
        <v>20</v>
      </c>
    </row>
    <row r="605" spans="1:1">
      <c r="A605" s="1" t="s">
        <v>20</v>
      </c>
    </row>
    <row r="606" spans="1:1">
      <c r="A606" s="1" t="s">
        <v>20</v>
      </c>
    </row>
    <row r="607" spans="1:1">
      <c r="A607" s="1" t="s">
        <v>20</v>
      </c>
    </row>
    <row r="608" spans="1:1">
      <c r="A608" s="1" t="s">
        <v>20</v>
      </c>
    </row>
    <row r="609" spans="1:1">
      <c r="A609" s="1" t="s">
        <v>20</v>
      </c>
    </row>
    <row r="610" spans="1:1">
      <c r="A610" s="1" t="s">
        <v>20</v>
      </c>
    </row>
    <row r="611" spans="1:1">
      <c r="A611" s="1" t="s">
        <v>20</v>
      </c>
    </row>
    <row r="612" spans="1:1">
      <c r="A612" s="1" t="s">
        <v>20</v>
      </c>
    </row>
    <row r="613" spans="1:1">
      <c r="A613" s="1" t="s">
        <v>20</v>
      </c>
    </row>
    <row r="614" spans="1:1">
      <c r="A614" s="1" t="s">
        <v>20</v>
      </c>
    </row>
    <row r="615" spans="1:1">
      <c r="A615" s="1" t="s">
        <v>20</v>
      </c>
    </row>
    <row r="616" spans="1:1">
      <c r="A616" s="1" t="s">
        <v>20</v>
      </c>
    </row>
    <row r="617" spans="1:1">
      <c r="A617" s="1" t="s">
        <v>20</v>
      </c>
    </row>
    <row r="618" spans="1:1">
      <c r="A618" s="1" t="s">
        <v>20</v>
      </c>
    </row>
    <row r="619" spans="1:1">
      <c r="A619" s="1" t="s">
        <v>20</v>
      </c>
    </row>
    <row r="620" spans="1:1">
      <c r="A620" s="1" t="s">
        <v>20</v>
      </c>
    </row>
    <row r="621" spans="1:1">
      <c r="A621" s="1" t="s">
        <v>20</v>
      </c>
    </row>
    <row r="622" spans="1:1">
      <c r="A622" s="1" t="s">
        <v>20</v>
      </c>
    </row>
    <row r="623" spans="1:1">
      <c r="A623" s="1" t="s">
        <v>20</v>
      </c>
    </row>
    <row r="624" spans="1:1">
      <c r="A624" s="1" t="s">
        <v>20</v>
      </c>
    </row>
    <row r="625" spans="1:1">
      <c r="A625" s="1" t="s">
        <v>20</v>
      </c>
    </row>
    <row r="626" spans="1:1">
      <c r="A626" s="1" t="s">
        <v>20</v>
      </c>
    </row>
    <row r="627" spans="1:1">
      <c r="A627" s="1" t="s">
        <v>20</v>
      </c>
    </row>
    <row r="628" spans="1:1">
      <c r="A628" s="1" t="s">
        <v>20</v>
      </c>
    </row>
    <row r="629" spans="1:1">
      <c r="A629" s="1" t="s">
        <v>20</v>
      </c>
    </row>
    <row r="630" spans="1:1">
      <c r="A630" s="1" t="s">
        <v>20</v>
      </c>
    </row>
    <row r="631" spans="1:1">
      <c r="A631" s="1" t="s">
        <v>20</v>
      </c>
    </row>
    <row r="632" spans="1:1">
      <c r="A632" s="1" t="s">
        <v>20</v>
      </c>
    </row>
    <row r="633" spans="1:1">
      <c r="A633" s="1" t="s">
        <v>20</v>
      </c>
    </row>
    <row r="634" spans="1:1">
      <c r="A634" s="1" t="s">
        <v>20</v>
      </c>
    </row>
    <row r="635" spans="1:1">
      <c r="A635" s="1" t="s">
        <v>20</v>
      </c>
    </row>
    <row r="636" spans="1:1">
      <c r="A636" s="1" t="s">
        <v>20</v>
      </c>
    </row>
    <row r="637" spans="1:1">
      <c r="A637" s="1" t="s">
        <v>20</v>
      </c>
    </row>
    <row r="638" spans="1:1">
      <c r="A638" s="1" t="s">
        <v>20</v>
      </c>
    </row>
    <row r="639" spans="1:1">
      <c r="A639" s="1" t="s">
        <v>20</v>
      </c>
    </row>
    <row r="640" spans="1:1">
      <c r="A640" s="1" t="s">
        <v>20</v>
      </c>
    </row>
    <row r="641" spans="1:1">
      <c r="A641" s="1" t="s">
        <v>20</v>
      </c>
    </row>
    <row r="642" spans="1:1">
      <c r="A642" s="1" t="s">
        <v>20</v>
      </c>
    </row>
    <row r="643" spans="1:1">
      <c r="A643" s="1" t="s">
        <v>20</v>
      </c>
    </row>
    <row r="644" spans="1:1">
      <c r="A644" s="1" t="s">
        <v>20</v>
      </c>
    </row>
    <row r="645" spans="1:1">
      <c r="A645" s="1" t="s">
        <v>20</v>
      </c>
    </row>
    <row r="646" spans="1:1">
      <c r="A646" s="1" t="s">
        <v>20</v>
      </c>
    </row>
    <row r="647" spans="1:1">
      <c r="A647" s="1" t="s">
        <v>20</v>
      </c>
    </row>
    <row r="648" spans="1:1">
      <c r="A648" s="1" t="s">
        <v>20</v>
      </c>
    </row>
    <row r="649" spans="1:1">
      <c r="A649" s="1" t="s">
        <v>20</v>
      </c>
    </row>
    <row r="650" spans="1:1">
      <c r="A650" s="1" t="s">
        <v>20</v>
      </c>
    </row>
    <row r="651" spans="1:1">
      <c r="A651" s="1" t="s">
        <v>20</v>
      </c>
    </row>
    <row r="652" spans="1:1">
      <c r="A652" s="1" t="s">
        <v>20</v>
      </c>
    </row>
    <row r="653" spans="1:1">
      <c r="A653" s="1" t="s">
        <v>20</v>
      </c>
    </row>
    <row r="654" spans="1:1">
      <c r="A654" s="1" t="s">
        <v>20</v>
      </c>
    </row>
    <row r="655" spans="1:1">
      <c r="A655" s="1" t="s">
        <v>20</v>
      </c>
    </row>
    <row r="656" spans="1:1">
      <c r="A656" s="1" t="s">
        <v>20</v>
      </c>
    </row>
    <row r="657" spans="1:1">
      <c r="A657" s="1" t="s">
        <v>20</v>
      </c>
    </row>
    <row r="658" spans="1:1">
      <c r="A658" s="1" t="s">
        <v>20</v>
      </c>
    </row>
    <row r="659" spans="1:1">
      <c r="A659" s="1" t="s">
        <v>20</v>
      </c>
    </row>
    <row r="660" spans="1:1">
      <c r="A660" s="1" t="s">
        <v>20</v>
      </c>
    </row>
    <row r="661" spans="1:1">
      <c r="A661" s="1" t="s">
        <v>20</v>
      </c>
    </row>
    <row r="662" spans="1:1">
      <c r="A662" s="1" t="s">
        <v>20</v>
      </c>
    </row>
    <row r="663" spans="1:1">
      <c r="A663" s="1" t="s">
        <v>20</v>
      </c>
    </row>
    <row r="664" spans="1:1">
      <c r="A664" s="1" t="s">
        <v>20</v>
      </c>
    </row>
    <row r="665" spans="1:1">
      <c r="A665" s="1" t="s">
        <v>20</v>
      </c>
    </row>
    <row r="666" spans="1:1">
      <c r="A666" s="1" t="s">
        <v>20</v>
      </c>
    </row>
    <row r="667" spans="1:1">
      <c r="A667" s="1" t="s">
        <v>20</v>
      </c>
    </row>
    <row r="668" spans="1:1">
      <c r="A668" s="1" t="s">
        <v>20</v>
      </c>
    </row>
    <row r="669" spans="1:1">
      <c r="A669" s="1" t="s">
        <v>20</v>
      </c>
    </row>
    <row r="670" spans="1:1">
      <c r="A670" s="1" t="s">
        <v>20</v>
      </c>
    </row>
    <row r="671" spans="1:1">
      <c r="A671" s="1" t="s">
        <v>20</v>
      </c>
    </row>
    <row r="672" spans="1:1">
      <c r="A672" s="1" t="s">
        <v>20</v>
      </c>
    </row>
    <row r="673" spans="1:1">
      <c r="A673" s="1" t="s">
        <v>20</v>
      </c>
    </row>
    <row r="674" spans="1:1">
      <c r="A674" s="1" t="s">
        <v>20</v>
      </c>
    </row>
    <row r="675" spans="1:1">
      <c r="A675" s="1" t="s">
        <v>20</v>
      </c>
    </row>
    <row r="676" spans="1:1">
      <c r="A676" s="1" t="s">
        <v>20</v>
      </c>
    </row>
    <row r="677" spans="1:1">
      <c r="A677" s="1" t="s">
        <v>20</v>
      </c>
    </row>
    <row r="678" spans="1:1">
      <c r="A678" s="1" t="s">
        <v>20</v>
      </c>
    </row>
    <row r="679" spans="1:1">
      <c r="A679" s="1" t="s">
        <v>20</v>
      </c>
    </row>
    <row r="680" spans="1:1">
      <c r="A680" s="1" t="s">
        <v>20</v>
      </c>
    </row>
    <row r="681" spans="1:1">
      <c r="A681" s="1" t="s">
        <v>20</v>
      </c>
    </row>
    <row r="682" spans="1:1">
      <c r="A682" s="1" t="s">
        <v>20</v>
      </c>
    </row>
    <row r="683" spans="1:1">
      <c r="A683" s="1" t="s">
        <v>20</v>
      </c>
    </row>
    <row r="684" spans="1:1">
      <c r="A684" s="1" t="s">
        <v>20</v>
      </c>
    </row>
    <row r="685" spans="1:1">
      <c r="A685" s="1" t="s">
        <v>20</v>
      </c>
    </row>
    <row r="686" spans="1:1">
      <c r="A686" s="1" t="s">
        <v>20</v>
      </c>
    </row>
    <row r="687" spans="1:1">
      <c r="A687" s="1" t="s">
        <v>20</v>
      </c>
    </row>
    <row r="688" spans="1:1">
      <c r="A688" s="1" t="s">
        <v>20</v>
      </c>
    </row>
    <row r="689" spans="1:1">
      <c r="A689" s="1" t="s">
        <v>20</v>
      </c>
    </row>
    <row r="690" spans="1:1">
      <c r="A690" s="1" t="s">
        <v>20</v>
      </c>
    </row>
    <row r="691" spans="1:1">
      <c r="A691" s="1" t="s">
        <v>20</v>
      </c>
    </row>
    <row r="692" spans="1:1">
      <c r="A692" s="1" t="s">
        <v>20</v>
      </c>
    </row>
    <row r="693" spans="1:1">
      <c r="A693" s="1" t="s">
        <v>20</v>
      </c>
    </row>
    <row r="694" spans="1:1">
      <c r="A694" s="1" t="s">
        <v>20</v>
      </c>
    </row>
    <row r="695" spans="1:1">
      <c r="A695" s="1" t="s">
        <v>20</v>
      </c>
    </row>
    <row r="696" spans="1:1">
      <c r="A696" s="1" t="s">
        <v>20</v>
      </c>
    </row>
    <row r="697" spans="1:1">
      <c r="A697" s="1" t="s">
        <v>20</v>
      </c>
    </row>
    <row r="698" spans="1:1">
      <c r="A698" s="1" t="s">
        <v>20</v>
      </c>
    </row>
    <row r="699" spans="1:1">
      <c r="A699" s="1" t="s">
        <v>20</v>
      </c>
    </row>
    <row r="700" spans="1:1">
      <c r="A700" s="1" t="s">
        <v>20</v>
      </c>
    </row>
    <row r="701" spans="1:1">
      <c r="A701" s="1" t="s">
        <v>20</v>
      </c>
    </row>
    <row r="702" spans="1:1">
      <c r="A702" s="1" t="s">
        <v>20</v>
      </c>
    </row>
    <row r="703" spans="1:1">
      <c r="A703" s="1" t="s">
        <v>20</v>
      </c>
    </row>
    <row r="704" spans="1:1">
      <c r="A704" s="1" t="s">
        <v>20</v>
      </c>
    </row>
    <row r="705" spans="1:1">
      <c r="A705" s="1" t="s">
        <v>20</v>
      </c>
    </row>
    <row r="706" spans="1:1">
      <c r="A706" s="1" t="s">
        <v>20</v>
      </c>
    </row>
    <row r="707" spans="1:1">
      <c r="A707" s="1" t="s">
        <v>20</v>
      </c>
    </row>
    <row r="708" spans="1:1">
      <c r="A708" s="1" t="s">
        <v>20</v>
      </c>
    </row>
    <row r="709" spans="1:1">
      <c r="A709" s="1" t="s">
        <v>20</v>
      </c>
    </row>
    <row r="710" spans="1:1">
      <c r="A710" s="1" t="s">
        <v>20</v>
      </c>
    </row>
    <row r="711" spans="1:1">
      <c r="A711" s="1" t="s">
        <v>20</v>
      </c>
    </row>
    <row r="712" spans="1:1">
      <c r="A712" s="1" t="s">
        <v>20</v>
      </c>
    </row>
    <row r="713" spans="1:1">
      <c r="A713" s="1" t="s">
        <v>20</v>
      </c>
    </row>
    <row r="714" spans="1:1">
      <c r="A714" s="1" t="s">
        <v>20</v>
      </c>
    </row>
    <row r="715" spans="1:1">
      <c r="A715" s="1" t="s">
        <v>20</v>
      </c>
    </row>
    <row r="716" spans="1:1">
      <c r="A716" s="1" t="s">
        <v>20</v>
      </c>
    </row>
    <row r="717" spans="1:1">
      <c r="A717" s="1" t="s">
        <v>20</v>
      </c>
    </row>
    <row r="718" spans="1:1">
      <c r="A718" s="1" t="s">
        <v>20</v>
      </c>
    </row>
    <row r="719" spans="1:1">
      <c r="A719" s="1" t="s">
        <v>20</v>
      </c>
    </row>
    <row r="720" spans="1:1">
      <c r="A720" s="1" t="s">
        <v>20</v>
      </c>
    </row>
    <row r="721" spans="1:1">
      <c r="A721" s="1" t="s">
        <v>20</v>
      </c>
    </row>
    <row r="722" spans="1:1">
      <c r="A722" s="1" t="s">
        <v>20</v>
      </c>
    </row>
    <row r="723" spans="1:1">
      <c r="A723" s="1" t="s">
        <v>20</v>
      </c>
    </row>
    <row r="724" spans="1:1">
      <c r="A724" s="1" t="s">
        <v>20</v>
      </c>
    </row>
    <row r="725" spans="1:1">
      <c r="A725" s="1" t="s">
        <v>20</v>
      </c>
    </row>
    <row r="726" spans="1:1">
      <c r="A726" s="1" t="s">
        <v>20</v>
      </c>
    </row>
    <row r="727" spans="1:1">
      <c r="A727" s="1" t="s">
        <v>20</v>
      </c>
    </row>
    <row r="728" spans="1:1">
      <c r="A728" s="1" t="s">
        <v>20</v>
      </c>
    </row>
    <row r="729" spans="1:1">
      <c r="A729" s="1" t="s">
        <v>20</v>
      </c>
    </row>
    <row r="730" spans="1:1">
      <c r="A730" s="1" t="s">
        <v>20</v>
      </c>
    </row>
    <row r="731" spans="1:1">
      <c r="A731" s="1" t="s">
        <v>20</v>
      </c>
    </row>
    <row r="732" spans="1:1">
      <c r="A732" s="1" t="s">
        <v>20</v>
      </c>
    </row>
    <row r="733" spans="1:1">
      <c r="A733" s="1" t="s">
        <v>20</v>
      </c>
    </row>
    <row r="734" spans="1:1">
      <c r="A734" s="1" t="s">
        <v>20</v>
      </c>
    </row>
    <row r="735" spans="1:1">
      <c r="A735" s="1" t="s">
        <v>20</v>
      </c>
    </row>
    <row r="736" spans="1:1">
      <c r="A736" s="1" t="s">
        <v>20</v>
      </c>
    </row>
    <row r="737" spans="1:1">
      <c r="A737" s="1" t="s">
        <v>20</v>
      </c>
    </row>
    <row r="738" spans="1:1">
      <c r="A738" s="1" t="s">
        <v>20</v>
      </c>
    </row>
    <row r="739" spans="1:1">
      <c r="A739" s="1" t="s">
        <v>20</v>
      </c>
    </row>
    <row r="740" spans="1:1">
      <c r="A740" s="1" t="s">
        <v>20</v>
      </c>
    </row>
    <row r="741" spans="1:1">
      <c r="A741" s="1" t="s">
        <v>20</v>
      </c>
    </row>
    <row r="742" spans="1:1">
      <c r="A742" s="1" t="s">
        <v>20</v>
      </c>
    </row>
    <row r="743" spans="1:1">
      <c r="A743" s="1" t="s">
        <v>20</v>
      </c>
    </row>
    <row r="744" spans="1:1">
      <c r="A744" s="1" t="s">
        <v>20</v>
      </c>
    </row>
    <row r="745" spans="1:1">
      <c r="A745" s="1" t="s">
        <v>20</v>
      </c>
    </row>
    <row r="746" spans="1:1">
      <c r="A746" s="1" t="s">
        <v>20</v>
      </c>
    </row>
    <row r="747" spans="1:1">
      <c r="A747" s="1" t="s">
        <v>20</v>
      </c>
    </row>
    <row r="748" spans="1:1">
      <c r="A748" s="1" t="s">
        <v>20</v>
      </c>
    </row>
    <row r="749" spans="1:1">
      <c r="A749" s="1" t="s">
        <v>20</v>
      </c>
    </row>
    <row r="750" spans="1:1">
      <c r="A750" s="1" t="s">
        <v>20</v>
      </c>
    </row>
    <row r="751" spans="1:1">
      <c r="A751" s="1" t="s">
        <v>20</v>
      </c>
    </row>
    <row r="752" spans="1:1">
      <c r="A752" s="1" t="s">
        <v>20</v>
      </c>
    </row>
    <row r="753" spans="1:1">
      <c r="A753" s="1" t="s">
        <v>20</v>
      </c>
    </row>
    <row r="754" spans="1:1">
      <c r="A754" s="1" t="s">
        <v>20</v>
      </c>
    </row>
    <row r="755" spans="1:1">
      <c r="A755" s="1" t="s">
        <v>20</v>
      </c>
    </row>
    <row r="756" spans="1:1">
      <c r="A756" s="1" t="s">
        <v>20</v>
      </c>
    </row>
    <row r="757" spans="1:1">
      <c r="A757" s="1" t="s">
        <v>20</v>
      </c>
    </row>
    <row r="758" spans="1:1">
      <c r="A758" s="1" t="s">
        <v>20</v>
      </c>
    </row>
    <row r="759" spans="1:1">
      <c r="A759" s="1" t="s">
        <v>20</v>
      </c>
    </row>
    <row r="760" spans="1:1">
      <c r="A760" s="1" t="s">
        <v>20</v>
      </c>
    </row>
    <row r="761" spans="1:1">
      <c r="A761" s="1" t="s">
        <v>20</v>
      </c>
    </row>
    <row r="762" spans="1:1">
      <c r="A762" s="1" t="s">
        <v>20</v>
      </c>
    </row>
    <row r="763" spans="1:1">
      <c r="A763" s="1" t="s">
        <v>20</v>
      </c>
    </row>
    <row r="764" spans="1:1">
      <c r="A764" s="1" t="s">
        <v>20</v>
      </c>
    </row>
    <row r="765" spans="1:1">
      <c r="A765" s="1" t="s">
        <v>20</v>
      </c>
    </row>
    <row r="766" spans="1:1">
      <c r="A766" s="1" t="s">
        <v>20</v>
      </c>
    </row>
    <row r="767" spans="1:1">
      <c r="A767" s="1" t="s">
        <v>20</v>
      </c>
    </row>
    <row r="768" spans="1:1">
      <c r="A768" s="1" t="s">
        <v>20</v>
      </c>
    </row>
    <row r="769" spans="1:1">
      <c r="A769" s="1" t="s">
        <v>20</v>
      </c>
    </row>
    <row r="770" spans="1:1">
      <c r="A770" s="1" t="s">
        <v>20</v>
      </c>
    </row>
    <row r="771" spans="1:1">
      <c r="A771" s="1" t="s">
        <v>20</v>
      </c>
    </row>
    <row r="772" spans="1:1">
      <c r="A772" s="1" t="s">
        <v>20</v>
      </c>
    </row>
    <row r="773" spans="1:1">
      <c r="A773" s="1" t="s">
        <v>20</v>
      </c>
    </row>
    <row r="774" spans="1:1">
      <c r="A774" s="1" t="s">
        <v>20</v>
      </c>
    </row>
    <row r="775" spans="1:1">
      <c r="A775" s="1" t="s">
        <v>20</v>
      </c>
    </row>
    <row r="776" spans="1:1">
      <c r="A776" s="1" t="s">
        <v>20</v>
      </c>
    </row>
    <row r="777" spans="1:1">
      <c r="A777" s="1" t="s">
        <v>20</v>
      </c>
    </row>
    <row r="778" spans="1:1">
      <c r="A778" s="1" t="s">
        <v>20</v>
      </c>
    </row>
    <row r="779" spans="1:1">
      <c r="A779" s="1" t="s">
        <v>20</v>
      </c>
    </row>
    <row r="780" spans="1:1">
      <c r="A780" s="1" t="s">
        <v>20</v>
      </c>
    </row>
    <row r="781" spans="1:1">
      <c r="A781" s="1" t="s">
        <v>20</v>
      </c>
    </row>
    <row r="782" spans="1:1">
      <c r="A782" s="1" t="s">
        <v>20</v>
      </c>
    </row>
    <row r="783" spans="1:1">
      <c r="A783" s="1" t="s">
        <v>20</v>
      </c>
    </row>
    <row r="784" spans="1:1">
      <c r="A784" s="1" t="s">
        <v>20</v>
      </c>
    </row>
    <row r="785" spans="1:1">
      <c r="A785" s="1" t="s">
        <v>20</v>
      </c>
    </row>
    <row r="786" spans="1:1">
      <c r="A786" s="1" t="s">
        <v>20</v>
      </c>
    </row>
    <row r="787" spans="1:1">
      <c r="A787" s="1" t="s">
        <v>20</v>
      </c>
    </row>
    <row r="788" spans="1:1">
      <c r="A788" s="1" t="s">
        <v>20</v>
      </c>
    </row>
    <row r="789" spans="1:1">
      <c r="A789" s="1" t="s">
        <v>20</v>
      </c>
    </row>
    <row r="790" spans="1:1">
      <c r="A790" s="1" t="s">
        <v>20</v>
      </c>
    </row>
    <row r="791" spans="1:1">
      <c r="A791" s="1" t="s">
        <v>20</v>
      </c>
    </row>
    <row r="792" spans="1:1">
      <c r="A792" s="1" t="s">
        <v>20</v>
      </c>
    </row>
    <row r="793" spans="1:1">
      <c r="A793" s="1" t="s">
        <v>20</v>
      </c>
    </row>
    <row r="794" spans="1:1">
      <c r="A794" s="1" t="s">
        <v>20</v>
      </c>
    </row>
    <row r="795" spans="1:1">
      <c r="A795" s="1" t="s">
        <v>20</v>
      </c>
    </row>
    <row r="796" spans="1:1">
      <c r="A796" s="1" t="s">
        <v>20</v>
      </c>
    </row>
    <row r="797" spans="1:1">
      <c r="A797" s="1" t="s">
        <v>20</v>
      </c>
    </row>
    <row r="798" spans="1:1">
      <c r="A798" s="1" t="s">
        <v>20</v>
      </c>
    </row>
    <row r="799" spans="1:1">
      <c r="A799" s="1" t="s">
        <v>20</v>
      </c>
    </row>
    <row r="800" spans="1:1">
      <c r="A800" s="1" t="s">
        <v>20</v>
      </c>
    </row>
    <row r="801" spans="1:1">
      <c r="A801" s="1" t="s">
        <v>20</v>
      </c>
    </row>
    <row r="802" spans="1:1">
      <c r="A802" s="1" t="s">
        <v>20</v>
      </c>
    </row>
    <row r="803" spans="1:1">
      <c r="A803" s="1" t="s">
        <v>20</v>
      </c>
    </row>
    <row r="804" spans="1:1">
      <c r="A804" s="1" t="s">
        <v>20</v>
      </c>
    </row>
    <row r="805" spans="1:1">
      <c r="A805" s="1" t="s">
        <v>20</v>
      </c>
    </row>
    <row r="806" spans="1:1">
      <c r="A806" s="1" t="s">
        <v>20</v>
      </c>
    </row>
    <row r="807" spans="1:1">
      <c r="A807" s="1" t="s">
        <v>20</v>
      </c>
    </row>
    <row r="808" spans="1:1">
      <c r="A808" s="1" t="s">
        <v>20</v>
      </c>
    </row>
    <row r="809" spans="1:1">
      <c r="A809" s="1" t="s">
        <v>20</v>
      </c>
    </row>
    <row r="810" spans="1:1">
      <c r="A810" s="1" t="s">
        <v>20</v>
      </c>
    </row>
    <row r="811" spans="1:1">
      <c r="A811" s="1" t="s">
        <v>20</v>
      </c>
    </row>
    <row r="812" spans="1:1">
      <c r="A812" s="1" t="s">
        <v>20</v>
      </c>
    </row>
    <row r="813" spans="1:1">
      <c r="A813" s="1" t="s">
        <v>20</v>
      </c>
    </row>
    <row r="814" spans="1:1">
      <c r="A814" s="1" t="s">
        <v>20</v>
      </c>
    </row>
    <row r="815" spans="1:1">
      <c r="A815" s="1" t="s">
        <v>20</v>
      </c>
    </row>
    <row r="816" spans="1:1">
      <c r="A816" s="1" t="s">
        <v>20</v>
      </c>
    </row>
    <row r="817" spans="1:1">
      <c r="A817" s="1" t="s">
        <v>20</v>
      </c>
    </row>
    <row r="818" spans="1:1">
      <c r="A818" s="1" t="s">
        <v>20</v>
      </c>
    </row>
    <row r="819" spans="1:1">
      <c r="A819" s="1" t="s">
        <v>20</v>
      </c>
    </row>
    <row r="820" spans="1:1">
      <c r="A820" s="1" t="s">
        <v>20</v>
      </c>
    </row>
    <row r="821" spans="1:1">
      <c r="A821" s="1" t="s">
        <v>20</v>
      </c>
    </row>
    <row r="822" spans="1:1">
      <c r="A822" s="1" t="s">
        <v>20</v>
      </c>
    </row>
    <row r="823" spans="1:1">
      <c r="A823" s="1" t="s">
        <v>20</v>
      </c>
    </row>
    <row r="824" spans="1:1">
      <c r="A824" s="1" t="s">
        <v>20</v>
      </c>
    </row>
    <row r="825" spans="1:1">
      <c r="A825" s="1" t="s">
        <v>20</v>
      </c>
    </row>
    <row r="826" spans="1:1">
      <c r="A826" s="1" t="s">
        <v>20</v>
      </c>
    </row>
    <row r="827" spans="1:1">
      <c r="A827" s="1" t="s">
        <v>20</v>
      </c>
    </row>
    <row r="828" spans="1:1">
      <c r="A828" s="1" t="s">
        <v>20</v>
      </c>
    </row>
    <row r="829" spans="1:1">
      <c r="A829" s="1" t="s">
        <v>20</v>
      </c>
    </row>
    <row r="830" spans="1:1">
      <c r="A830" s="1" t="s">
        <v>20</v>
      </c>
    </row>
    <row r="831" spans="1:1">
      <c r="A831" s="1" t="s">
        <v>20</v>
      </c>
    </row>
    <row r="832" spans="1:1">
      <c r="A832" s="1" t="s">
        <v>20</v>
      </c>
    </row>
    <row r="833" spans="1:1">
      <c r="A833" s="1" t="s">
        <v>20</v>
      </c>
    </row>
    <row r="834" spans="1:1">
      <c r="A834" s="1" t="s">
        <v>20</v>
      </c>
    </row>
    <row r="835" spans="1:1">
      <c r="A835" s="1" t="s">
        <v>20</v>
      </c>
    </row>
    <row r="836" spans="1:1">
      <c r="A836" s="1" t="s">
        <v>20</v>
      </c>
    </row>
    <row r="837" spans="1:1">
      <c r="A837" s="1" t="s">
        <v>20</v>
      </c>
    </row>
    <row r="838" spans="1:1">
      <c r="A838" s="1" t="s">
        <v>20</v>
      </c>
    </row>
    <row r="839" spans="1:1">
      <c r="A839" s="1" t="s">
        <v>20</v>
      </c>
    </row>
    <row r="840" spans="1:1">
      <c r="A840" s="1" t="s">
        <v>20</v>
      </c>
    </row>
    <row r="841" spans="1:1">
      <c r="A841" s="1" t="s">
        <v>20</v>
      </c>
    </row>
    <row r="842" spans="1:1">
      <c r="A842" s="1" t="s">
        <v>20</v>
      </c>
    </row>
    <row r="843" spans="1:1">
      <c r="A843" s="1" t="s">
        <v>20</v>
      </c>
    </row>
    <row r="844" spans="1:1">
      <c r="A844" s="1" t="s">
        <v>20</v>
      </c>
    </row>
    <row r="845" spans="1:1">
      <c r="A845" s="1" t="s">
        <v>20</v>
      </c>
    </row>
    <row r="846" spans="1:1">
      <c r="A846" s="1" t="s">
        <v>20</v>
      </c>
    </row>
    <row r="847" spans="1:1">
      <c r="A847" s="1" t="s">
        <v>20</v>
      </c>
    </row>
    <row r="848" spans="1:1">
      <c r="A848" s="1" t="s">
        <v>20</v>
      </c>
    </row>
    <row r="849" spans="1:1">
      <c r="A849" s="1" t="s">
        <v>20</v>
      </c>
    </row>
    <row r="850" spans="1:1">
      <c r="A850" s="1" t="s">
        <v>20</v>
      </c>
    </row>
    <row r="851" spans="1:1">
      <c r="A851" s="1" t="s">
        <v>20</v>
      </c>
    </row>
    <row r="852" spans="1:1">
      <c r="A852" s="1" t="s">
        <v>20</v>
      </c>
    </row>
    <row r="853" spans="1:1">
      <c r="A853" s="1" t="s">
        <v>20</v>
      </c>
    </row>
    <row r="854" spans="1:1">
      <c r="A854" s="1" t="s">
        <v>20</v>
      </c>
    </row>
    <row r="855" spans="1:1">
      <c r="A855" s="1" t="s">
        <v>20</v>
      </c>
    </row>
    <row r="856" spans="1:1">
      <c r="A856" s="1" t="s">
        <v>20</v>
      </c>
    </row>
    <row r="857" spans="1:1">
      <c r="A857" s="1" t="s">
        <v>20</v>
      </c>
    </row>
    <row r="858" spans="1:1">
      <c r="A858" s="1" t="s">
        <v>20</v>
      </c>
    </row>
    <row r="859" spans="1:1">
      <c r="A859" s="1" t="s">
        <v>20</v>
      </c>
    </row>
    <row r="860" spans="1:1">
      <c r="A860" s="1" t="s">
        <v>20</v>
      </c>
    </row>
    <row r="861" spans="1:1">
      <c r="A861" s="1" t="s">
        <v>20</v>
      </c>
    </row>
    <row r="862" spans="1:1">
      <c r="A862" s="1" t="s">
        <v>20</v>
      </c>
    </row>
    <row r="863" spans="1:1">
      <c r="A863" s="1" t="s">
        <v>20</v>
      </c>
    </row>
    <row r="864" spans="1:1">
      <c r="A864" s="1" t="s">
        <v>20</v>
      </c>
    </row>
    <row r="865" spans="1:1">
      <c r="A865" s="1" t="s">
        <v>20</v>
      </c>
    </row>
    <row r="866" spans="1:1">
      <c r="A866" s="1" t="s">
        <v>20</v>
      </c>
    </row>
    <row r="867" spans="1:1">
      <c r="A867" s="1" t="s">
        <v>20</v>
      </c>
    </row>
    <row r="868" spans="1:1">
      <c r="A868" s="1" t="s">
        <v>20</v>
      </c>
    </row>
    <row r="869" spans="1:1">
      <c r="A869" s="1" t="s">
        <v>20</v>
      </c>
    </row>
    <row r="870" spans="1:1">
      <c r="A870" s="1" t="s">
        <v>20</v>
      </c>
    </row>
    <row r="871" spans="1:1">
      <c r="A871" s="1" t="s">
        <v>20</v>
      </c>
    </row>
    <row r="872" spans="1:1">
      <c r="A872" s="1" t="s">
        <v>20</v>
      </c>
    </row>
    <row r="873" spans="1:1">
      <c r="A873" s="1" t="s">
        <v>20</v>
      </c>
    </row>
    <row r="874" spans="1:1">
      <c r="A874" s="1" t="s">
        <v>20</v>
      </c>
    </row>
    <row r="875" spans="1:1">
      <c r="A875" s="1" t="s">
        <v>20</v>
      </c>
    </row>
    <row r="876" spans="1:1">
      <c r="A876" s="1" t="s">
        <v>20</v>
      </c>
    </row>
    <row r="877" spans="1:1">
      <c r="A877" s="1" t="s">
        <v>20</v>
      </c>
    </row>
    <row r="878" spans="1:1">
      <c r="A878" s="1" t="s">
        <v>20</v>
      </c>
    </row>
    <row r="879" spans="1:1">
      <c r="A879" s="1" t="s">
        <v>20</v>
      </c>
    </row>
    <row r="880" spans="1:1">
      <c r="A880" s="1" t="s">
        <v>20</v>
      </c>
    </row>
    <row r="881" spans="1:1">
      <c r="A881" s="1" t="s">
        <v>20</v>
      </c>
    </row>
    <row r="882" spans="1:1">
      <c r="A882" s="1" t="s">
        <v>20</v>
      </c>
    </row>
    <row r="883" spans="1:1">
      <c r="A883" s="1" t="s">
        <v>20</v>
      </c>
    </row>
    <row r="884" spans="1:1">
      <c r="A884" s="1" t="s">
        <v>20</v>
      </c>
    </row>
    <row r="885" spans="1:1">
      <c r="A885" s="1" t="s">
        <v>20</v>
      </c>
    </row>
    <row r="886" spans="1:1">
      <c r="A886" s="1" t="s">
        <v>20</v>
      </c>
    </row>
    <row r="887" spans="1:1">
      <c r="A887" s="1" t="s">
        <v>20</v>
      </c>
    </row>
    <row r="888" spans="1:1">
      <c r="A888" s="1" t="s">
        <v>20</v>
      </c>
    </row>
    <row r="889" spans="1:1">
      <c r="A889" s="1" t="s">
        <v>20</v>
      </c>
    </row>
    <row r="890" spans="1:1">
      <c r="A890" s="1" t="s">
        <v>20</v>
      </c>
    </row>
    <row r="891" spans="1:1">
      <c r="A891" s="1" t="s">
        <v>20</v>
      </c>
    </row>
    <row r="892" spans="1:1">
      <c r="A892" s="1" t="s">
        <v>20</v>
      </c>
    </row>
    <row r="893" spans="1:1">
      <c r="A893" s="1" t="s">
        <v>20</v>
      </c>
    </row>
    <row r="894" spans="1:1">
      <c r="A894" s="1" t="s">
        <v>20</v>
      </c>
    </row>
    <row r="895" spans="1:1">
      <c r="A895" s="1" t="s">
        <v>20</v>
      </c>
    </row>
    <row r="896" spans="1:1">
      <c r="A896" s="1" t="s">
        <v>20</v>
      </c>
    </row>
    <row r="897" spans="1:1">
      <c r="A897" s="1" t="s">
        <v>20</v>
      </c>
    </row>
    <row r="898" spans="1:1">
      <c r="A898" s="1" t="s">
        <v>20</v>
      </c>
    </row>
    <row r="899" spans="1:1">
      <c r="A899" s="1" t="s">
        <v>20</v>
      </c>
    </row>
    <row r="900" spans="1:1">
      <c r="A900" s="1" t="s">
        <v>20</v>
      </c>
    </row>
    <row r="901" spans="1:1">
      <c r="A901" s="1" t="s">
        <v>20</v>
      </c>
    </row>
    <row r="902" spans="1:1">
      <c r="A902" s="1" t="s">
        <v>20</v>
      </c>
    </row>
    <row r="903" spans="1:1">
      <c r="A903" s="1" t="s">
        <v>20</v>
      </c>
    </row>
    <row r="904" spans="1:1">
      <c r="A904" s="1" t="s">
        <v>20</v>
      </c>
    </row>
    <row r="905" spans="1:1">
      <c r="A905" s="1" t="s">
        <v>20</v>
      </c>
    </row>
    <row r="906" spans="1:1">
      <c r="A906" s="1" t="s">
        <v>20</v>
      </c>
    </row>
    <row r="907" spans="1:1">
      <c r="A907" s="1" t="s">
        <v>20</v>
      </c>
    </row>
    <row r="908" spans="1:1">
      <c r="A908" s="1" t="s">
        <v>20</v>
      </c>
    </row>
    <row r="909" spans="1:1">
      <c r="A909" s="1" t="s">
        <v>20</v>
      </c>
    </row>
    <row r="910" spans="1:1">
      <c r="A910" s="1" t="s">
        <v>20</v>
      </c>
    </row>
    <row r="911" spans="1:1">
      <c r="A911" s="1" t="s">
        <v>20</v>
      </c>
    </row>
    <row r="912" spans="1:1">
      <c r="A912" s="1" t="s">
        <v>20</v>
      </c>
    </row>
    <row r="913" spans="1:1">
      <c r="A913" s="1" t="s">
        <v>20</v>
      </c>
    </row>
    <row r="914" spans="1:1">
      <c r="A914" s="1" t="s">
        <v>20</v>
      </c>
    </row>
    <row r="915" spans="1:1">
      <c r="A915" s="1" t="s">
        <v>20</v>
      </c>
    </row>
    <row r="916" spans="1:1">
      <c r="A916" s="1" t="s">
        <v>20</v>
      </c>
    </row>
    <row r="917" spans="1:1">
      <c r="A917" s="1" t="s">
        <v>20</v>
      </c>
    </row>
    <row r="918" spans="1:1">
      <c r="A918" s="1" t="s">
        <v>20</v>
      </c>
    </row>
    <row r="919" spans="1:1">
      <c r="A919" s="1" t="s">
        <v>20</v>
      </c>
    </row>
    <row r="920" spans="1:1">
      <c r="A920" s="1" t="s">
        <v>20</v>
      </c>
    </row>
    <row r="921" spans="1:1">
      <c r="A921" s="1" t="s">
        <v>20</v>
      </c>
    </row>
    <row r="922" spans="1:1">
      <c r="A922" s="1" t="s">
        <v>20</v>
      </c>
    </row>
    <row r="923" spans="1:1">
      <c r="A923" s="1" t="s">
        <v>20</v>
      </c>
    </row>
    <row r="924" spans="1:1">
      <c r="A924" s="1" t="s">
        <v>20</v>
      </c>
    </row>
    <row r="925" spans="1:1">
      <c r="A925" s="1" t="s">
        <v>20</v>
      </c>
    </row>
    <row r="926" spans="1:1">
      <c r="A926" s="1" t="s">
        <v>20</v>
      </c>
    </row>
    <row r="927" spans="1:1">
      <c r="A927" s="1" t="s">
        <v>20</v>
      </c>
    </row>
    <row r="928" spans="1:1">
      <c r="A928" s="1" t="s">
        <v>20</v>
      </c>
    </row>
    <row r="929" spans="1:1">
      <c r="A929" s="1" t="s">
        <v>20</v>
      </c>
    </row>
    <row r="930" spans="1:1">
      <c r="A930" s="1" t="s">
        <v>20</v>
      </c>
    </row>
    <row r="931" spans="1:1">
      <c r="A931" s="1" t="s">
        <v>20</v>
      </c>
    </row>
    <row r="932" spans="1:1">
      <c r="A932" s="1" t="s">
        <v>20</v>
      </c>
    </row>
    <row r="933" spans="1:1">
      <c r="A933" s="1" t="s">
        <v>20</v>
      </c>
    </row>
    <row r="934" spans="1:1">
      <c r="A934" s="1" t="s">
        <v>20</v>
      </c>
    </row>
    <row r="935" spans="1:1">
      <c r="A935" s="1" t="s">
        <v>20</v>
      </c>
    </row>
    <row r="936" spans="1:1">
      <c r="A936" s="1" t="s">
        <v>20</v>
      </c>
    </row>
    <row r="937" spans="1:1">
      <c r="A937" s="1" t="s">
        <v>20</v>
      </c>
    </row>
    <row r="938" spans="1:1">
      <c r="A938" s="1" t="s">
        <v>20</v>
      </c>
    </row>
    <row r="939" spans="1:1">
      <c r="A939" s="1" t="s">
        <v>20</v>
      </c>
    </row>
    <row r="940" spans="1:1">
      <c r="A940" s="1" t="s">
        <v>20</v>
      </c>
    </row>
    <row r="941" spans="1:1">
      <c r="A941" s="1" t="s">
        <v>20</v>
      </c>
    </row>
    <row r="942" spans="1:1">
      <c r="A942" s="1" t="s">
        <v>20</v>
      </c>
    </row>
    <row r="943" spans="1:1">
      <c r="A943" s="1" t="s">
        <v>20</v>
      </c>
    </row>
    <row r="944" spans="1:1">
      <c r="A944" s="1" t="s">
        <v>20</v>
      </c>
    </row>
    <row r="945" spans="1:1">
      <c r="A945" s="1" t="s">
        <v>20</v>
      </c>
    </row>
    <row r="946" spans="1:1">
      <c r="A946" s="1" t="s">
        <v>20</v>
      </c>
    </row>
    <row r="947" spans="1:1">
      <c r="A947" s="1" t="s">
        <v>20</v>
      </c>
    </row>
    <row r="948" spans="1:1">
      <c r="A948" s="1" t="s">
        <v>20</v>
      </c>
    </row>
    <row r="949" spans="1:1">
      <c r="A949" s="1" t="s">
        <v>20</v>
      </c>
    </row>
    <row r="950" spans="1:1">
      <c r="A950" s="1" t="s">
        <v>20</v>
      </c>
    </row>
    <row r="951" spans="1:1">
      <c r="A951" s="1" t="s">
        <v>20</v>
      </c>
    </row>
    <row r="952" spans="1:1">
      <c r="A952" s="1" t="s">
        <v>20</v>
      </c>
    </row>
    <row r="953" spans="1:1">
      <c r="A953" s="1" t="s">
        <v>20</v>
      </c>
    </row>
    <row r="954" spans="1:1">
      <c r="A954" s="1" t="s">
        <v>20</v>
      </c>
    </row>
    <row r="955" spans="1:1">
      <c r="A955" s="1" t="s">
        <v>20</v>
      </c>
    </row>
    <row r="956" spans="1:1">
      <c r="A956" s="1" t="s">
        <v>20</v>
      </c>
    </row>
    <row r="957" spans="1:1">
      <c r="A957" s="1" t="s">
        <v>20</v>
      </c>
    </row>
    <row r="958" spans="1:1">
      <c r="A958" s="1" t="s">
        <v>20</v>
      </c>
    </row>
    <row r="959" spans="1:1">
      <c r="A959" s="1" t="s">
        <v>20</v>
      </c>
    </row>
    <row r="960" spans="1:1">
      <c r="A960" s="1" t="s">
        <v>20</v>
      </c>
    </row>
    <row r="961" spans="1:1">
      <c r="A961" s="1" t="s">
        <v>20</v>
      </c>
    </row>
    <row r="962" spans="1:1">
      <c r="A962" s="1" t="s">
        <v>20</v>
      </c>
    </row>
    <row r="963" spans="1:1">
      <c r="A963" s="1" t="s">
        <v>20</v>
      </c>
    </row>
    <row r="964" spans="1:1">
      <c r="A964" s="1" t="s">
        <v>20</v>
      </c>
    </row>
    <row r="965" spans="1:1">
      <c r="A965" s="1" t="s">
        <v>20</v>
      </c>
    </row>
    <row r="966" spans="1:1">
      <c r="A966" s="1" t="s">
        <v>20</v>
      </c>
    </row>
    <row r="967" spans="1:1">
      <c r="A967" s="1" t="s">
        <v>20</v>
      </c>
    </row>
    <row r="968" spans="1:1">
      <c r="A968" s="1" t="s">
        <v>20</v>
      </c>
    </row>
    <row r="969" spans="1:1">
      <c r="A969" s="1" t="s">
        <v>20</v>
      </c>
    </row>
    <row r="970" spans="1:1">
      <c r="A970" s="1" t="s">
        <v>20</v>
      </c>
    </row>
    <row r="971" spans="1:1">
      <c r="A971" s="1" t="s">
        <v>20</v>
      </c>
    </row>
    <row r="972" spans="1:1">
      <c r="A972" s="1" t="s">
        <v>20</v>
      </c>
    </row>
    <row r="973" spans="1:1">
      <c r="A973" s="1" t="s">
        <v>20</v>
      </c>
    </row>
    <row r="974" spans="1:1">
      <c r="A974" s="1" t="s">
        <v>20</v>
      </c>
    </row>
    <row r="975" spans="1:1">
      <c r="A975" s="1" t="s">
        <v>20</v>
      </c>
    </row>
    <row r="976" spans="1:1">
      <c r="A976" s="1" t="s">
        <v>20</v>
      </c>
    </row>
    <row r="977" spans="1:1">
      <c r="A977" s="1" t="s">
        <v>20</v>
      </c>
    </row>
    <row r="978" spans="1:1">
      <c r="A978" s="1" t="s">
        <v>20</v>
      </c>
    </row>
    <row r="979" spans="1:1">
      <c r="A979" s="1" t="s">
        <v>20</v>
      </c>
    </row>
    <row r="980" spans="1:1">
      <c r="A980" s="1" t="s">
        <v>20</v>
      </c>
    </row>
    <row r="981" spans="1:1">
      <c r="A981" s="1" t="s">
        <v>20</v>
      </c>
    </row>
    <row r="982" spans="1:1">
      <c r="A982" s="1" t="s">
        <v>20</v>
      </c>
    </row>
    <row r="983" spans="1:1">
      <c r="A983" s="1" t="s">
        <v>20</v>
      </c>
    </row>
    <row r="984" spans="1:1">
      <c r="A984" s="1" t="s">
        <v>20</v>
      </c>
    </row>
    <row r="985" spans="1:1">
      <c r="A985" s="1" t="s">
        <v>20</v>
      </c>
    </row>
    <row r="986" spans="1:1">
      <c r="A986" s="1" t="s">
        <v>20</v>
      </c>
    </row>
    <row r="987" spans="1:1">
      <c r="A987" s="1" t="s">
        <v>20</v>
      </c>
    </row>
    <row r="988" spans="1:1">
      <c r="A988" s="1" t="s">
        <v>20</v>
      </c>
    </row>
    <row r="989" spans="1:1">
      <c r="A989" s="1" t="s">
        <v>20</v>
      </c>
    </row>
    <row r="990" spans="1:1">
      <c r="A990" s="1" t="s">
        <v>20</v>
      </c>
    </row>
    <row r="991" spans="1:1">
      <c r="A991" s="1" t="s">
        <v>20</v>
      </c>
    </row>
    <row r="992" spans="1:1">
      <c r="A992" s="1" t="s">
        <v>20</v>
      </c>
    </row>
    <row r="993" spans="1:1">
      <c r="A993" s="1" t="s">
        <v>20</v>
      </c>
    </row>
    <row r="994" spans="1:1">
      <c r="A994" s="1" t="s">
        <v>20</v>
      </c>
    </row>
    <row r="995" spans="1:1">
      <c r="A995" s="1" t="s">
        <v>20</v>
      </c>
    </row>
    <row r="996" spans="1:1">
      <c r="A996" s="1" t="s">
        <v>20</v>
      </c>
    </row>
    <row r="997" spans="1:1">
      <c r="A997" s="1" t="s">
        <v>20</v>
      </c>
    </row>
    <row r="998" spans="1:1">
      <c r="A998" s="1" t="s">
        <v>20</v>
      </c>
    </row>
    <row r="999" spans="1:1">
      <c r="A999" s="1" t="s">
        <v>20</v>
      </c>
    </row>
    <row r="1000" spans="1:1">
      <c r="A1000" s="1" t="s">
        <v>20</v>
      </c>
    </row>
    <row r="1001" spans="1:1">
      <c r="A1001" s="1" t="s">
        <v>20</v>
      </c>
    </row>
    <row r="1002" spans="1:1">
      <c r="A1002" s="1" t="s">
        <v>20</v>
      </c>
    </row>
    <row r="1003" spans="1:1">
      <c r="A1003" s="1" t="s">
        <v>20</v>
      </c>
    </row>
    <row r="1004" spans="1:1">
      <c r="A1004" s="1" t="s">
        <v>20</v>
      </c>
    </row>
    <row r="1005" spans="1:1">
      <c r="A1005" s="1" t="s">
        <v>20</v>
      </c>
    </row>
    <row r="1006" spans="1:1">
      <c r="A1006" s="1" t="s">
        <v>20</v>
      </c>
    </row>
    <row r="1007" spans="1:1">
      <c r="A1007" s="1" t="s">
        <v>20</v>
      </c>
    </row>
    <row r="1008" spans="1:1">
      <c r="A1008" s="1" t="s">
        <v>20</v>
      </c>
    </row>
    <row r="1009" spans="1:1">
      <c r="A1009" s="1" t="s">
        <v>20</v>
      </c>
    </row>
    <row r="1010" spans="1:1">
      <c r="A1010" s="1" t="s">
        <v>20</v>
      </c>
    </row>
    <row r="1011" spans="1:1">
      <c r="A1011" s="1" t="s">
        <v>20</v>
      </c>
    </row>
    <row r="1012" spans="1:1">
      <c r="A1012" s="1" t="s">
        <v>20</v>
      </c>
    </row>
    <row r="1013" spans="1:1">
      <c r="A1013" s="1" t="s">
        <v>20</v>
      </c>
    </row>
    <row r="1014" spans="1:1">
      <c r="A1014" s="1" t="s">
        <v>20</v>
      </c>
    </row>
    <row r="1015" spans="1:1">
      <c r="A1015" s="1" t="s">
        <v>20</v>
      </c>
    </row>
    <row r="1016" spans="1:1">
      <c r="A1016" s="1" t="s">
        <v>20</v>
      </c>
    </row>
    <row r="1017" spans="1:1">
      <c r="A1017" s="1" t="s">
        <v>20</v>
      </c>
    </row>
    <row r="1018" spans="1:1">
      <c r="A1018" s="1" t="s">
        <v>20</v>
      </c>
    </row>
    <row r="1019" spans="1:1">
      <c r="A1019" s="1" t="s">
        <v>20</v>
      </c>
    </row>
    <row r="1020" spans="1:1">
      <c r="A1020" s="1" t="s">
        <v>20</v>
      </c>
    </row>
    <row r="1021" spans="1:1">
      <c r="A1021" s="1" t="s">
        <v>20</v>
      </c>
    </row>
    <row r="1022" spans="1:1">
      <c r="A1022" s="1" t="s">
        <v>20</v>
      </c>
    </row>
    <row r="1023" spans="1:1">
      <c r="A1023" s="1" t="s">
        <v>20</v>
      </c>
    </row>
    <row r="1024" spans="1:1">
      <c r="A1024" s="1" t="s">
        <v>20</v>
      </c>
    </row>
    <row r="1025" spans="1:1">
      <c r="A1025" s="1" t="s">
        <v>20</v>
      </c>
    </row>
    <row r="1026" spans="1:1">
      <c r="A1026" s="1" t="s">
        <v>20</v>
      </c>
    </row>
    <row r="1027" spans="1:1">
      <c r="A1027" s="1" t="s">
        <v>20</v>
      </c>
    </row>
    <row r="1028" spans="1:1">
      <c r="A1028" s="1" t="s">
        <v>20</v>
      </c>
    </row>
    <row r="1029" spans="1:1">
      <c r="A1029" s="1" t="s">
        <v>20</v>
      </c>
    </row>
    <row r="1030" spans="1:1">
      <c r="A1030" s="1" t="s">
        <v>20</v>
      </c>
    </row>
    <row r="1031" spans="1:1">
      <c r="A1031" s="1" t="s">
        <v>20</v>
      </c>
    </row>
    <row r="1032" spans="1:1">
      <c r="A1032" s="1" t="s">
        <v>20</v>
      </c>
    </row>
    <row r="1033" spans="1:1">
      <c r="A1033" s="1" t="s">
        <v>20</v>
      </c>
    </row>
    <row r="1034" spans="1:1">
      <c r="A1034" s="1" t="s">
        <v>20</v>
      </c>
    </row>
    <row r="1035" spans="1:1">
      <c r="A1035" s="1" t="s">
        <v>20</v>
      </c>
    </row>
    <row r="1036" spans="1:1">
      <c r="A1036" s="1" t="s">
        <v>20</v>
      </c>
    </row>
    <row r="1037" spans="1:1">
      <c r="A1037" s="1" t="s">
        <v>20</v>
      </c>
    </row>
    <row r="1038" spans="1:1">
      <c r="A1038" s="1" t="s">
        <v>21</v>
      </c>
    </row>
    <row r="1039" spans="1:1">
      <c r="A1039" s="1" t="s">
        <v>21</v>
      </c>
    </row>
    <row r="1040" spans="1:1">
      <c r="A1040" s="1" t="s">
        <v>21</v>
      </c>
    </row>
    <row r="1041" spans="1:1">
      <c r="A1041" s="1" t="s">
        <v>21</v>
      </c>
    </row>
    <row r="1042" spans="1:1">
      <c r="A1042" s="1" t="s">
        <v>21</v>
      </c>
    </row>
    <row r="1043" spans="1:1">
      <c r="A1043" s="1" t="s">
        <v>21</v>
      </c>
    </row>
    <row r="1044" spans="1:1">
      <c r="A1044" s="1" t="s">
        <v>21</v>
      </c>
    </row>
    <row r="1045" spans="1:1">
      <c r="A1045" s="1" t="s">
        <v>21</v>
      </c>
    </row>
    <row r="1046" spans="1:1">
      <c r="A1046" s="1" t="s">
        <v>21</v>
      </c>
    </row>
    <row r="1047" spans="1:1">
      <c r="A1047" s="1" t="s">
        <v>21</v>
      </c>
    </row>
    <row r="1048" spans="1:1">
      <c r="A1048" s="1" t="s">
        <v>21</v>
      </c>
    </row>
    <row r="1049" spans="1:1">
      <c r="A1049" s="1" t="s">
        <v>21</v>
      </c>
    </row>
    <row r="1050" spans="1:1">
      <c r="A1050" s="1" t="s">
        <v>21</v>
      </c>
    </row>
    <row r="1051" spans="1:1">
      <c r="A1051" s="1" t="s">
        <v>21</v>
      </c>
    </row>
    <row r="1052" spans="1:1">
      <c r="A1052" s="1" t="s">
        <v>21</v>
      </c>
    </row>
    <row r="1053" spans="1:1">
      <c r="A1053" s="1" t="s">
        <v>21</v>
      </c>
    </row>
    <row r="1054" spans="1:1">
      <c r="A1054" s="1" t="s">
        <v>21</v>
      </c>
    </row>
    <row r="1055" spans="1:1">
      <c r="A1055" s="1" t="s">
        <v>21</v>
      </c>
    </row>
    <row r="1056" spans="1:1">
      <c r="A1056" s="1" t="s">
        <v>21</v>
      </c>
    </row>
    <row r="1057" spans="1:1">
      <c r="A1057" s="1" t="s">
        <v>21</v>
      </c>
    </row>
    <row r="1058" spans="1:1">
      <c r="A1058" s="1" t="s">
        <v>21</v>
      </c>
    </row>
    <row r="1059" spans="1:1">
      <c r="A1059" s="1" t="s">
        <v>21</v>
      </c>
    </row>
    <row r="1060" spans="1:1">
      <c r="A1060" s="1" t="s">
        <v>21</v>
      </c>
    </row>
    <row r="1061" spans="1:1">
      <c r="A1061" s="1" t="s">
        <v>21</v>
      </c>
    </row>
    <row r="1062" spans="1:1">
      <c r="A1062" s="1" t="s">
        <v>21</v>
      </c>
    </row>
    <row r="1063" spans="1:1">
      <c r="A1063" s="1" t="s">
        <v>21</v>
      </c>
    </row>
    <row r="1064" spans="1:1">
      <c r="A1064" s="1" t="s">
        <v>21</v>
      </c>
    </row>
    <row r="1065" spans="1:1">
      <c r="A1065" s="1" t="s">
        <v>21</v>
      </c>
    </row>
    <row r="1066" spans="1:1">
      <c r="A1066" s="1" t="s">
        <v>21</v>
      </c>
    </row>
    <row r="1067" spans="1:1">
      <c r="A1067" s="1" t="s">
        <v>21</v>
      </c>
    </row>
    <row r="1068" spans="1:1">
      <c r="A1068" s="1" t="s">
        <v>21</v>
      </c>
    </row>
    <row r="1069" spans="1:1">
      <c r="A1069" s="1" t="s">
        <v>21</v>
      </c>
    </row>
    <row r="1070" spans="1:1">
      <c r="A1070" s="1" t="s">
        <v>21</v>
      </c>
    </row>
    <row r="1071" spans="1:1">
      <c r="A1071" s="1" t="s">
        <v>21</v>
      </c>
    </row>
    <row r="1072" spans="1:1">
      <c r="A1072" s="1" t="s">
        <v>21</v>
      </c>
    </row>
    <row r="1073" spans="1:1">
      <c r="A1073" s="1" t="s">
        <v>21</v>
      </c>
    </row>
    <row r="1074" spans="1:1">
      <c r="A1074" s="1" t="s">
        <v>21</v>
      </c>
    </row>
    <row r="1075" spans="1:1">
      <c r="A1075" s="1" t="s">
        <v>21</v>
      </c>
    </row>
    <row r="1076" spans="1:1">
      <c r="A1076" s="1" t="s">
        <v>21</v>
      </c>
    </row>
    <row r="1077" spans="1:1">
      <c r="A1077" s="1" t="s">
        <v>21</v>
      </c>
    </row>
    <row r="1078" spans="1:1">
      <c r="A1078" s="1" t="s">
        <v>21</v>
      </c>
    </row>
    <row r="1079" spans="1:1">
      <c r="A1079" s="1" t="s">
        <v>21</v>
      </c>
    </row>
    <row r="1080" spans="1:1">
      <c r="A1080" s="1" t="s">
        <v>21</v>
      </c>
    </row>
    <row r="1081" spans="1:1">
      <c r="A1081" s="1" t="s">
        <v>21</v>
      </c>
    </row>
    <row r="1082" spans="1:1">
      <c r="A1082" s="1" t="s">
        <v>21</v>
      </c>
    </row>
    <row r="1083" spans="1:1">
      <c r="A1083" s="1" t="s">
        <v>21</v>
      </c>
    </row>
    <row r="1084" spans="1:1">
      <c r="A1084" s="1" t="s">
        <v>21</v>
      </c>
    </row>
    <row r="1085" spans="1:1">
      <c r="A1085" s="1" t="s">
        <v>21</v>
      </c>
    </row>
    <row r="1086" spans="1:1">
      <c r="A1086" s="1" t="s">
        <v>21</v>
      </c>
    </row>
    <row r="1087" spans="1:1">
      <c r="A1087" s="1" t="s">
        <v>21</v>
      </c>
    </row>
    <row r="1088" spans="1:1">
      <c r="A1088" s="1" t="s">
        <v>21</v>
      </c>
    </row>
    <row r="1089" spans="1:1">
      <c r="A1089" s="1" t="s">
        <v>21</v>
      </c>
    </row>
    <row r="1090" spans="1:1">
      <c r="A1090" s="1" t="s">
        <v>21</v>
      </c>
    </row>
    <row r="1091" spans="1:1">
      <c r="A1091" s="1" t="s">
        <v>21</v>
      </c>
    </row>
    <row r="1092" spans="1:1">
      <c r="A1092" s="1" t="s">
        <v>21</v>
      </c>
    </row>
    <row r="1093" spans="1:1">
      <c r="A1093" s="1" t="s">
        <v>21</v>
      </c>
    </row>
    <row r="1094" spans="1:1">
      <c r="A1094" s="1" t="s">
        <v>21</v>
      </c>
    </row>
    <row r="1095" spans="1:1">
      <c r="A1095" s="1" t="s">
        <v>21</v>
      </c>
    </row>
    <row r="1096" spans="1:1">
      <c r="A1096" s="1" t="s">
        <v>21</v>
      </c>
    </row>
    <row r="1097" spans="1:1">
      <c r="A1097" s="1" t="s">
        <v>21</v>
      </c>
    </row>
    <row r="1098" spans="1:1">
      <c r="A1098" s="1" t="s">
        <v>21</v>
      </c>
    </row>
    <row r="1099" spans="1:1">
      <c r="A1099" s="1" t="s">
        <v>21</v>
      </c>
    </row>
    <row r="1100" spans="1:1">
      <c r="A1100" s="1" t="s">
        <v>21</v>
      </c>
    </row>
    <row r="1101" spans="1:1">
      <c r="A1101" s="1" t="s">
        <v>21</v>
      </c>
    </row>
    <row r="1102" spans="1:1">
      <c r="A1102" s="1" t="s">
        <v>21</v>
      </c>
    </row>
    <row r="1103" spans="1:1">
      <c r="A1103" s="1" t="s">
        <v>21</v>
      </c>
    </row>
    <row r="1104" spans="1:1">
      <c r="A1104" s="1" t="s">
        <v>21</v>
      </c>
    </row>
    <row r="1105" spans="1:1">
      <c r="A1105" s="1" t="s">
        <v>21</v>
      </c>
    </row>
    <row r="1106" spans="1:1">
      <c r="A1106" s="1" t="s">
        <v>21</v>
      </c>
    </row>
    <row r="1107" spans="1:1">
      <c r="A1107" s="1" t="s">
        <v>21</v>
      </c>
    </row>
    <row r="1108" spans="1:1">
      <c r="A1108" s="1" t="s">
        <v>21</v>
      </c>
    </row>
    <row r="1109" spans="1:1">
      <c r="A1109" s="1" t="s">
        <v>21</v>
      </c>
    </row>
    <row r="1110" spans="1:1">
      <c r="A1110" s="1" t="s">
        <v>21</v>
      </c>
    </row>
    <row r="1111" spans="1:1">
      <c r="A1111" s="1" t="s">
        <v>21</v>
      </c>
    </row>
    <row r="1112" spans="1:1">
      <c r="A1112" s="1" t="s">
        <v>21</v>
      </c>
    </row>
    <row r="1113" spans="1:1">
      <c r="A1113" s="1" t="s">
        <v>21</v>
      </c>
    </row>
    <row r="1114" spans="1:1">
      <c r="A1114" s="1" t="s">
        <v>21</v>
      </c>
    </row>
    <row r="1115" spans="1:1">
      <c r="A1115" s="1" t="s">
        <v>21</v>
      </c>
    </row>
    <row r="1116" spans="1:1">
      <c r="A1116" s="1" t="s">
        <v>21</v>
      </c>
    </row>
    <row r="1117" spans="1:1">
      <c r="A1117" s="1" t="s">
        <v>21</v>
      </c>
    </row>
    <row r="1118" spans="1:1">
      <c r="A1118" s="1" t="s">
        <v>21</v>
      </c>
    </row>
    <row r="1119" spans="1:1">
      <c r="A1119" s="1" t="s">
        <v>21</v>
      </c>
    </row>
    <row r="1120" spans="1:1">
      <c r="A1120" s="1" t="s">
        <v>21</v>
      </c>
    </row>
    <row r="1121" spans="1:1">
      <c r="A1121" s="1" t="s">
        <v>21</v>
      </c>
    </row>
    <row r="1122" spans="1:1">
      <c r="A1122" s="1" t="s">
        <v>21</v>
      </c>
    </row>
    <row r="1123" spans="1:1">
      <c r="A1123" s="1" t="s">
        <v>21</v>
      </c>
    </row>
    <row r="1124" spans="1:1">
      <c r="A1124" s="1" t="s">
        <v>21</v>
      </c>
    </row>
    <row r="1125" spans="1:1">
      <c r="A1125" s="1" t="s">
        <v>21</v>
      </c>
    </row>
    <row r="1126" spans="1:1">
      <c r="A1126" s="1" t="s">
        <v>21</v>
      </c>
    </row>
    <row r="1127" spans="1:1">
      <c r="A1127" s="1" t="s">
        <v>21</v>
      </c>
    </row>
    <row r="1128" spans="1:1">
      <c r="A1128" s="1" t="s">
        <v>21</v>
      </c>
    </row>
    <row r="1129" spans="1:1">
      <c r="A1129" s="1" t="s">
        <v>21</v>
      </c>
    </row>
    <row r="1130" spans="1:1">
      <c r="A1130" s="1" t="s">
        <v>21</v>
      </c>
    </row>
    <row r="1131" spans="1:1">
      <c r="A1131" s="1" t="s">
        <v>21</v>
      </c>
    </row>
    <row r="1132" spans="1:1">
      <c r="A1132" s="1" t="s">
        <v>21</v>
      </c>
    </row>
    <row r="1133" spans="1:1">
      <c r="A1133" s="1" t="s">
        <v>21</v>
      </c>
    </row>
    <row r="1134" spans="1:1">
      <c r="A1134" s="1" t="s">
        <v>21</v>
      </c>
    </row>
    <row r="1135" spans="1:1">
      <c r="A1135" s="1" t="s">
        <v>21</v>
      </c>
    </row>
    <row r="1136" spans="1:1">
      <c r="A1136" s="1" t="s">
        <v>21</v>
      </c>
    </row>
    <row r="1137" spans="1:1">
      <c r="A1137" s="1" t="s">
        <v>21</v>
      </c>
    </row>
    <row r="1138" spans="1:1">
      <c r="A1138" s="1" t="s">
        <v>21</v>
      </c>
    </row>
    <row r="1139" spans="1:1">
      <c r="A1139" s="1" t="s">
        <v>21</v>
      </c>
    </row>
    <row r="1140" spans="1:1">
      <c r="A1140" s="1" t="s">
        <v>21</v>
      </c>
    </row>
    <row r="1141" spans="1:1">
      <c r="A1141" s="1" t="s">
        <v>21</v>
      </c>
    </row>
    <row r="1142" spans="1:1">
      <c r="A1142" s="1" t="s">
        <v>21</v>
      </c>
    </row>
    <row r="1143" spans="1:1">
      <c r="A1143" s="1" t="s">
        <v>21</v>
      </c>
    </row>
    <row r="1144" spans="1:1">
      <c r="A1144" s="1" t="s">
        <v>21</v>
      </c>
    </row>
    <row r="1145" spans="1:1">
      <c r="A1145" s="1" t="s">
        <v>21</v>
      </c>
    </row>
    <row r="1146" spans="1:1">
      <c r="A1146" s="1" t="s">
        <v>21</v>
      </c>
    </row>
    <row r="1147" spans="1:1">
      <c r="A1147" s="1" t="s">
        <v>21</v>
      </c>
    </row>
    <row r="1148" spans="1:1">
      <c r="A1148" s="1" t="s">
        <v>21</v>
      </c>
    </row>
    <row r="1149" spans="1:1">
      <c r="A1149" s="1" t="s">
        <v>21</v>
      </c>
    </row>
    <row r="1150" spans="1:1">
      <c r="A1150" s="1" t="s">
        <v>21</v>
      </c>
    </row>
    <row r="1151" spans="1:1">
      <c r="A1151" s="1" t="s">
        <v>21</v>
      </c>
    </row>
    <row r="1152" spans="1:1">
      <c r="A1152" s="1" t="s">
        <v>21</v>
      </c>
    </row>
    <row r="1153" spans="1:1">
      <c r="A1153" s="1" t="s">
        <v>21</v>
      </c>
    </row>
    <row r="1154" spans="1:1">
      <c r="A1154" s="1" t="s">
        <v>21</v>
      </c>
    </row>
    <row r="1155" spans="1:1">
      <c r="A1155" s="1" t="s">
        <v>21</v>
      </c>
    </row>
    <row r="1156" spans="1:1">
      <c r="A1156" s="1" t="s">
        <v>21</v>
      </c>
    </row>
    <row r="1157" spans="1:1">
      <c r="A1157" s="1" t="s">
        <v>21</v>
      </c>
    </row>
    <row r="1158" spans="1:1">
      <c r="A1158" s="1" t="s">
        <v>21</v>
      </c>
    </row>
    <row r="1159" spans="1:1">
      <c r="A1159" s="1" t="s">
        <v>21</v>
      </c>
    </row>
    <row r="1160" spans="1:1">
      <c r="A1160" s="1" t="s">
        <v>21</v>
      </c>
    </row>
    <row r="1161" spans="1:1">
      <c r="A1161" s="1" t="s">
        <v>21</v>
      </c>
    </row>
    <row r="1162" spans="1:1">
      <c r="A1162" s="1" t="s">
        <v>21</v>
      </c>
    </row>
    <row r="1163" spans="1:1">
      <c r="A1163" s="1" t="s">
        <v>21</v>
      </c>
    </row>
    <row r="1164" spans="1:1">
      <c r="A1164" s="1" t="s">
        <v>21</v>
      </c>
    </row>
    <row r="1165" spans="1:1">
      <c r="A1165" s="1" t="s">
        <v>21</v>
      </c>
    </row>
    <row r="1166" spans="1:1">
      <c r="A1166" s="1" t="s">
        <v>21</v>
      </c>
    </row>
    <row r="1167" spans="1:1">
      <c r="A1167" s="1" t="s">
        <v>21</v>
      </c>
    </row>
    <row r="1168" spans="1:1">
      <c r="A1168" s="1" t="s">
        <v>21</v>
      </c>
    </row>
    <row r="1169" spans="1:1">
      <c r="A1169" s="1" t="s">
        <v>21</v>
      </c>
    </row>
    <row r="1170" spans="1:1">
      <c r="A1170" s="1" t="s">
        <v>21</v>
      </c>
    </row>
    <row r="1171" spans="1:1">
      <c r="A1171" s="1" t="s">
        <v>21</v>
      </c>
    </row>
    <row r="1172" spans="1:1">
      <c r="A1172" s="1" t="s">
        <v>21</v>
      </c>
    </row>
    <row r="1173" spans="1:1">
      <c r="A1173" s="1" t="s">
        <v>21</v>
      </c>
    </row>
    <row r="1174" spans="1:1">
      <c r="A1174" s="1" t="s">
        <v>21</v>
      </c>
    </row>
    <row r="1175" spans="1:1">
      <c r="A1175" s="1" t="s">
        <v>21</v>
      </c>
    </row>
    <row r="1176" spans="1:1">
      <c r="A1176" s="1" t="s">
        <v>21</v>
      </c>
    </row>
    <row r="1177" spans="1:1">
      <c r="A1177" s="1" t="s">
        <v>21</v>
      </c>
    </row>
    <row r="1178" spans="1:1">
      <c r="A1178" s="1" t="s">
        <v>21</v>
      </c>
    </row>
    <row r="1179" spans="1:1">
      <c r="A1179" s="1" t="s">
        <v>21</v>
      </c>
    </row>
    <row r="1180" spans="1:1">
      <c r="A1180" s="1" t="s">
        <v>21</v>
      </c>
    </row>
    <row r="1181" spans="1:1">
      <c r="A1181" s="1" t="s">
        <v>21</v>
      </c>
    </row>
    <row r="1182" spans="1:1">
      <c r="A1182" s="1" t="s">
        <v>21</v>
      </c>
    </row>
    <row r="1183" spans="1:1">
      <c r="A1183" s="1" t="s">
        <v>21</v>
      </c>
    </row>
    <row r="1184" spans="1:1">
      <c r="A1184" s="1" t="s">
        <v>21</v>
      </c>
    </row>
    <row r="1185" spans="1:1">
      <c r="A1185" s="1" t="s">
        <v>21</v>
      </c>
    </row>
    <row r="1186" spans="1:1">
      <c r="A1186" s="1" t="s">
        <v>21</v>
      </c>
    </row>
    <row r="1187" spans="1:1">
      <c r="A1187" s="1" t="s">
        <v>21</v>
      </c>
    </row>
    <row r="1188" spans="1:1">
      <c r="A1188" s="1" t="s">
        <v>21</v>
      </c>
    </row>
    <row r="1189" spans="1:1">
      <c r="A1189" s="1" t="s">
        <v>21</v>
      </c>
    </row>
    <row r="1190" spans="1:1">
      <c r="A1190" s="1" t="s">
        <v>21</v>
      </c>
    </row>
    <row r="1191" spans="1:1">
      <c r="A1191" s="1" t="s">
        <v>21</v>
      </c>
    </row>
    <row r="1192" spans="1:1">
      <c r="A1192" s="1" t="s">
        <v>21</v>
      </c>
    </row>
    <row r="1193" spans="1:1">
      <c r="A1193" s="1" t="s">
        <v>21</v>
      </c>
    </row>
    <row r="1194" spans="1:1">
      <c r="A1194" s="1" t="s">
        <v>21</v>
      </c>
    </row>
    <row r="1195" spans="1:1">
      <c r="A1195" s="1" t="s">
        <v>21</v>
      </c>
    </row>
    <row r="1196" spans="1:1">
      <c r="A1196" s="1" t="s">
        <v>21</v>
      </c>
    </row>
    <row r="1197" spans="1:1">
      <c r="A1197" s="1" t="s">
        <v>21</v>
      </c>
    </row>
    <row r="1198" spans="1:1">
      <c r="A1198" s="1" t="s">
        <v>21</v>
      </c>
    </row>
    <row r="1199" spans="1:1">
      <c r="A1199" s="1" t="s">
        <v>21</v>
      </c>
    </row>
    <row r="1200" spans="1:1">
      <c r="A1200" s="1" t="s">
        <v>21</v>
      </c>
    </row>
    <row r="1201" spans="1:1">
      <c r="A1201" s="1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DA19-76B8-413B-94DA-E24E9A09BB4D}">
  <sheetPr>
    <tabColor rgb="FF00B050"/>
  </sheetPr>
  <dimension ref="A1:K102"/>
  <sheetViews>
    <sheetView showGridLines="0" topLeftCell="A19" zoomScale="66" zoomScaleNormal="100" workbookViewId="0">
      <selection activeCell="L43" sqref="L43"/>
    </sheetView>
  </sheetViews>
  <sheetFormatPr defaultColWidth="8.77734375" defaultRowHeight="15.6"/>
  <cols>
    <col min="1" max="1" width="12.5546875" style="1" bestFit="1" customWidth="1"/>
    <col min="2" max="2" width="14.88671875" style="1" bestFit="1" customWidth="1"/>
    <col min="3" max="3" width="11.77734375" style="1" customWidth="1"/>
    <col min="4" max="4" width="8.77734375" style="1"/>
    <col min="5" max="5" width="12.5546875" style="1" bestFit="1" customWidth="1"/>
    <col min="6" max="6" width="14.88671875" style="1" bestFit="1" customWidth="1"/>
    <col min="7" max="16384" width="8.77734375" style="1"/>
  </cols>
  <sheetData>
    <row r="1" spans="1:11" ht="20.399999999999999" thickBot="1">
      <c r="A1" s="3" t="s">
        <v>22</v>
      </c>
      <c r="B1" s="3"/>
    </row>
    <row r="2" spans="1:11" ht="16.2" thickTop="1"/>
    <row r="3" spans="1:11" ht="18" thickBot="1">
      <c r="A3" s="5" t="s">
        <v>23</v>
      </c>
      <c r="B3" s="5"/>
      <c r="C3" s="5"/>
      <c r="D3" s="5"/>
      <c r="E3" s="5"/>
      <c r="F3" s="5"/>
      <c r="G3" s="5"/>
      <c r="H3" s="5"/>
      <c r="I3" s="5"/>
    </row>
    <row r="4" spans="1:11" ht="23.4" thickTop="1">
      <c r="A4" s="13"/>
      <c r="J4" s="68" t="s">
        <v>119</v>
      </c>
      <c r="K4" t="s">
        <v>122</v>
      </c>
    </row>
    <row r="5" spans="1:11">
      <c r="B5" s="61"/>
      <c r="E5" s="14" t="s">
        <v>18</v>
      </c>
      <c r="F5" s="1" t="s">
        <v>24</v>
      </c>
      <c r="J5" s="23" t="s">
        <v>19</v>
      </c>
      <c r="K5" s="69">
        <v>602</v>
      </c>
    </row>
    <row r="6" spans="1:11">
      <c r="B6" s="61"/>
      <c r="E6" s="1" t="s">
        <v>19</v>
      </c>
      <c r="F6" s="62"/>
      <c r="J6" s="23" t="s">
        <v>20</v>
      </c>
      <c r="K6" s="69">
        <v>434</v>
      </c>
    </row>
    <row r="7" spans="1:11">
      <c r="B7" s="61"/>
      <c r="E7" s="1" t="s">
        <v>20</v>
      </c>
      <c r="F7" s="62"/>
      <c r="J7" s="23" t="s">
        <v>21</v>
      </c>
      <c r="K7" s="69">
        <v>164</v>
      </c>
    </row>
    <row r="8" spans="1:11">
      <c r="B8" s="61"/>
      <c r="E8" s="1" t="s">
        <v>21</v>
      </c>
      <c r="F8" s="62"/>
      <c r="J8" s="23" t="s">
        <v>120</v>
      </c>
      <c r="K8" s="69">
        <v>1200</v>
      </c>
    </row>
    <row r="9" spans="1:11" ht="16.2" thickBot="1">
      <c r="E9" s="15" t="s">
        <v>25</v>
      </c>
      <c r="F9" s="63"/>
    </row>
    <row r="10" spans="1:11" ht="16.2" thickTop="1">
      <c r="A10" s="12"/>
    </row>
    <row r="11" spans="1:11">
      <c r="A11" s="12"/>
    </row>
    <row r="12" spans="1:11" ht="18" thickBot="1">
      <c r="A12" s="16" t="s">
        <v>26</v>
      </c>
      <c r="B12" s="16"/>
      <c r="C12" s="16"/>
      <c r="D12" s="16"/>
      <c r="E12" s="16"/>
      <c r="F12" s="16"/>
      <c r="G12" s="16"/>
      <c r="H12" s="16"/>
      <c r="I12" s="16"/>
    </row>
    <row r="13" spans="1:11" ht="23.4" thickTop="1">
      <c r="A13" s="17"/>
      <c r="E13" s="68" t="s">
        <v>119</v>
      </c>
      <c r="F13" t="s">
        <v>122</v>
      </c>
    </row>
    <row r="14" spans="1:11">
      <c r="B14" s="14" t="s">
        <v>18</v>
      </c>
      <c r="C14" s="1" t="s">
        <v>27</v>
      </c>
      <c r="E14" s="23" t="s">
        <v>19</v>
      </c>
      <c r="F14" s="70">
        <v>0.50166666666666671</v>
      </c>
    </row>
    <row r="15" spans="1:11">
      <c r="B15" s="1" t="s">
        <v>19</v>
      </c>
      <c r="C15" s="64"/>
      <c r="E15" s="23" t="s">
        <v>20</v>
      </c>
      <c r="F15" s="70">
        <v>0.36166666666666669</v>
      </c>
    </row>
    <row r="16" spans="1:11">
      <c r="B16" s="1" t="s">
        <v>20</v>
      </c>
      <c r="C16" s="62"/>
      <c r="E16" s="23" t="s">
        <v>21</v>
      </c>
      <c r="F16" s="70">
        <v>0.13666666666666666</v>
      </c>
    </row>
    <row r="17" spans="1:11">
      <c r="B17" s="1" t="s">
        <v>21</v>
      </c>
      <c r="C17" s="62"/>
      <c r="E17" s="23" t="s">
        <v>120</v>
      </c>
      <c r="F17" s="70">
        <v>1</v>
      </c>
    </row>
    <row r="18" spans="1:11">
      <c r="A18" s="18"/>
      <c r="B18" s="18"/>
    </row>
    <row r="20" spans="1:11" ht="18" thickBot="1">
      <c r="A20" s="5" t="s">
        <v>28</v>
      </c>
      <c r="B20" s="5"/>
      <c r="C20" s="5"/>
      <c r="D20" s="5"/>
      <c r="E20" s="5"/>
      <c r="F20" s="5"/>
      <c r="G20" s="5"/>
      <c r="H20" s="5"/>
      <c r="I20" s="5"/>
    </row>
    <row r="21" spans="1:11" ht="16.2" thickTop="1"/>
    <row r="22" spans="1:11">
      <c r="B22" s="61"/>
      <c r="C22" s="61"/>
      <c r="D22" s="61"/>
      <c r="E22" s="61"/>
      <c r="F22" s="61"/>
      <c r="G22" s="61"/>
      <c r="H22" s="61"/>
      <c r="J22" s="68" t="s">
        <v>119</v>
      </c>
      <c r="K22" t="s">
        <v>122</v>
      </c>
    </row>
    <row r="23" spans="1:11">
      <c r="B23" s="61"/>
      <c r="C23" s="61"/>
      <c r="D23" s="61"/>
      <c r="E23" s="61"/>
      <c r="F23" s="61"/>
      <c r="G23" s="61"/>
      <c r="H23" s="61"/>
      <c r="J23" s="23" t="s">
        <v>19</v>
      </c>
      <c r="K23" s="70">
        <v>0.50166666666666671</v>
      </c>
    </row>
    <row r="24" spans="1:11">
      <c r="B24" s="61"/>
      <c r="C24" s="61"/>
      <c r="D24" s="61"/>
      <c r="E24" s="61"/>
      <c r="F24" s="61"/>
      <c r="G24" s="61"/>
      <c r="H24" s="61"/>
      <c r="J24" s="23" t="s">
        <v>20</v>
      </c>
      <c r="K24" s="70">
        <v>0.36166666666666669</v>
      </c>
    </row>
    <row r="25" spans="1:11">
      <c r="B25" s="61"/>
      <c r="C25" s="61"/>
      <c r="D25" s="61"/>
      <c r="E25" s="61"/>
      <c r="F25" s="61"/>
      <c r="G25" s="61"/>
      <c r="H25" s="61"/>
      <c r="J25" s="23" t="s">
        <v>21</v>
      </c>
      <c r="K25" s="70">
        <v>0.13666666666666666</v>
      </c>
    </row>
    <row r="26" spans="1:11">
      <c r="B26" s="61"/>
      <c r="C26" s="61"/>
      <c r="D26" s="61"/>
      <c r="E26" s="61"/>
      <c r="F26" s="61"/>
      <c r="G26" s="61"/>
      <c r="H26" s="61"/>
      <c r="J26" s="23" t="s">
        <v>120</v>
      </c>
      <c r="K26" s="70">
        <v>1</v>
      </c>
    </row>
    <row r="27" spans="1:11">
      <c r="B27" s="61"/>
      <c r="C27" s="61"/>
      <c r="D27" s="61"/>
      <c r="E27" s="61"/>
      <c r="F27" s="61"/>
      <c r="G27" s="61"/>
      <c r="H27" s="61"/>
    </row>
    <row r="28" spans="1:11">
      <c r="B28" s="61"/>
      <c r="C28" s="61"/>
      <c r="D28" s="61"/>
      <c r="E28" s="61"/>
      <c r="F28" s="61"/>
      <c r="G28" s="61"/>
      <c r="H28" s="61"/>
    </row>
    <row r="29" spans="1:11">
      <c r="B29" s="61"/>
      <c r="C29" s="61"/>
      <c r="D29" s="61"/>
      <c r="E29" s="61"/>
      <c r="F29" s="61"/>
      <c r="G29" s="61"/>
      <c r="H29" s="61"/>
    </row>
    <row r="30" spans="1:11">
      <c r="B30" s="61"/>
      <c r="C30" s="61"/>
      <c r="D30" s="61"/>
      <c r="E30" s="61"/>
      <c r="F30" s="61"/>
      <c r="G30" s="61"/>
      <c r="H30" s="61"/>
    </row>
    <row r="31" spans="1:11">
      <c r="B31" s="61"/>
      <c r="C31" s="61"/>
      <c r="D31" s="61"/>
      <c r="E31" s="61"/>
      <c r="F31" s="61"/>
      <c r="G31" s="61"/>
      <c r="H31" s="61"/>
    </row>
    <row r="32" spans="1:11">
      <c r="B32" s="61"/>
      <c r="C32" s="61"/>
      <c r="D32" s="61"/>
      <c r="E32" s="61"/>
      <c r="F32" s="61"/>
      <c r="G32" s="61"/>
      <c r="H32" s="61"/>
    </row>
    <row r="33" spans="1:11">
      <c r="B33" s="61"/>
      <c r="C33" s="61"/>
      <c r="D33" s="61"/>
      <c r="E33" s="61"/>
      <c r="F33" s="61"/>
      <c r="G33" s="61"/>
      <c r="H33" s="61"/>
    </row>
    <row r="34" spans="1:11">
      <c r="B34" s="61"/>
      <c r="C34" s="61"/>
      <c r="D34" s="61"/>
      <c r="E34" s="61"/>
      <c r="F34" s="61"/>
      <c r="G34" s="61"/>
      <c r="H34" s="61"/>
    </row>
    <row r="35" spans="1:11">
      <c r="B35" s="61"/>
      <c r="C35" s="61"/>
      <c r="D35" s="61"/>
      <c r="E35" s="61"/>
      <c r="F35" s="61"/>
      <c r="G35" s="61"/>
      <c r="H35" s="61"/>
    </row>
    <row r="36" spans="1:11">
      <c r="B36" s="61"/>
      <c r="C36" s="61"/>
      <c r="D36" s="61"/>
      <c r="E36" s="61"/>
      <c r="F36" s="61"/>
      <c r="G36" s="61"/>
      <c r="H36" s="61"/>
    </row>
    <row r="37" spans="1:11">
      <c r="B37" s="61"/>
      <c r="C37" s="61"/>
      <c r="D37" s="61"/>
      <c r="E37" s="61"/>
      <c r="F37" s="61"/>
      <c r="G37" s="61"/>
      <c r="H37" s="61"/>
    </row>
    <row r="38" spans="1:11">
      <c r="B38" s="61"/>
      <c r="C38" s="61"/>
      <c r="D38" s="61"/>
      <c r="E38" s="61"/>
      <c r="F38" s="61"/>
      <c r="G38" s="61"/>
      <c r="H38" s="61"/>
    </row>
    <row r="39" spans="1:11" ht="18" thickBot="1">
      <c r="A39" s="5" t="s">
        <v>29</v>
      </c>
      <c r="B39" s="5"/>
      <c r="C39" s="5"/>
      <c r="D39" s="5"/>
      <c r="E39" s="5"/>
      <c r="F39" s="5"/>
      <c r="G39" s="5"/>
      <c r="H39" s="5"/>
    </row>
    <row r="40" spans="1:11" ht="16.2" thickTop="1"/>
    <row r="41" spans="1:11">
      <c r="B41" s="61"/>
      <c r="C41" s="61"/>
      <c r="D41" s="61"/>
      <c r="E41" s="61"/>
      <c r="F41" s="61"/>
      <c r="G41" s="61"/>
      <c r="H41" s="61"/>
      <c r="J41" s="68" t="s">
        <v>119</v>
      </c>
      <c r="K41" t="s">
        <v>122</v>
      </c>
    </row>
    <row r="42" spans="1:11">
      <c r="B42" s="61"/>
      <c r="C42" s="61"/>
      <c r="D42" s="61"/>
      <c r="E42" s="61"/>
      <c r="F42" s="61"/>
      <c r="G42" s="61"/>
      <c r="H42" s="61"/>
      <c r="J42" s="23" t="s">
        <v>19</v>
      </c>
      <c r="K42" s="69">
        <v>602</v>
      </c>
    </row>
    <row r="43" spans="1:11">
      <c r="B43" s="61"/>
      <c r="C43" s="61"/>
      <c r="D43" s="61"/>
      <c r="E43" s="61"/>
      <c r="F43" s="61"/>
      <c r="G43" s="61"/>
      <c r="H43" s="61"/>
      <c r="J43" s="23" t="s">
        <v>20</v>
      </c>
      <c r="K43" s="69">
        <v>434</v>
      </c>
    </row>
    <row r="44" spans="1:11">
      <c r="B44" s="61"/>
      <c r="C44" s="61"/>
      <c r="D44" s="61"/>
      <c r="E44" s="61"/>
      <c r="F44" s="61"/>
      <c r="G44" s="61"/>
      <c r="H44" s="61"/>
      <c r="J44" s="23" t="s">
        <v>21</v>
      </c>
      <c r="K44" s="69">
        <v>164</v>
      </c>
    </row>
    <row r="45" spans="1:11">
      <c r="B45" s="61"/>
      <c r="C45" s="61"/>
      <c r="D45" s="61"/>
      <c r="E45" s="61"/>
      <c r="F45" s="61"/>
      <c r="G45" s="61"/>
      <c r="H45" s="61"/>
      <c r="J45" s="23" t="s">
        <v>120</v>
      </c>
      <c r="K45" s="69">
        <v>1200</v>
      </c>
    </row>
    <row r="46" spans="1:11">
      <c r="B46" s="61"/>
      <c r="C46" s="61"/>
      <c r="D46" s="61"/>
      <c r="E46" s="61"/>
      <c r="F46" s="61"/>
      <c r="G46" s="61"/>
      <c r="H46" s="61"/>
    </row>
    <row r="47" spans="1:11">
      <c r="B47" s="61"/>
      <c r="C47" s="61"/>
      <c r="D47" s="61"/>
      <c r="E47" s="61"/>
      <c r="F47" s="61"/>
      <c r="G47" s="61"/>
      <c r="H47" s="61"/>
    </row>
    <row r="48" spans="1:11">
      <c r="B48" s="61"/>
      <c r="C48" s="61"/>
      <c r="D48" s="61"/>
      <c r="E48" s="61"/>
      <c r="F48" s="61"/>
      <c r="G48" s="61"/>
      <c r="H48" s="61"/>
    </row>
    <row r="49" spans="2:8">
      <c r="B49" s="61"/>
      <c r="C49" s="61"/>
      <c r="D49" s="61"/>
      <c r="E49" s="61"/>
      <c r="F49" s="61"/>
      <c r="G49" s="61"/>
      <c r="H49" s="61"/>
    </row>
    <row r="50" spans="2:8">
      <c r="B50" s="61"/>
      <c r="C50" s="61"/>
      <c r="D50" s="61"/>
      <c r="E50" s="61"/>
      <c r="F50" s="61"/>
      <c r="G50" s="61"/>
      <c r="H50" s="61"/>
    </row>
    <row r="51" spans="2:8">
      <c r="B51" s="61"/>
      <c r="C51" s="61"/>
      <c r="D51" s="61"/>
      <c r="E51" s="61"/>
      <c r="F51" s="61"/>
      <c r="G51" s="61"/>
      <c r="H51" s="61"/>
    </row>
    <row r="52" spans="2:8">
      <c r="B52" s="61"/>
      <c r="C52" s="61"/>
      <c r="D52" s="61"/>
      <c r="E52" s="61"/>
      <c r="F52" s="61"/>
      <c r="G52" s="61"/>
      <c r="H52" s="61"/>
    </row>
    <row r="53" spans="2:8">
      <c r="B53" s="61"/>
      <c r="C53" s="61"/>
      <c r="D53" s="61"/>
      <c r="E53" s="61"/>
      <c r="F53" s="61"/>
      <c r="G53" s="61"/>
      <c r="H53" s="61"/>
    </row>
    <row r="54" spans="2:8">
      <c r="B54" s="61"/>
      <c r="C54" s="61"/>
      <c r="D54" s="61"/>
      <c r="E54" s="61"/>
      <c r="F54" s="61"/>
      <c r="G54" s="61"/>
      <c r="H54" s="61"/>
    </row>
    <row r="55" spans="2:8">
      <c r="B55" s="61"/>
      <c r="C55" s="61"/>
      <c r="D55" s="61"/>
      <c r="E55" s="61"/>
      <c r="F55" s="61"/>
      <c r="G55" s="61"/>
      <c r="H55" s="61"/>
    </row>
    <row r="56" spans="2:8">
      <c r="B56" s="61"/>
      <c r="C56" s="61"/>
      <c r="D56" s="61"/>
      <c r="E56" s="61"/>
      <c r="F56" s="61"/>
      <c r="G56" s="61"/>
      <c r="H56" s="61"/>
    </row>
    <row r="57" spans="2:8">
      <c r="B57" s="61"/>
      <c r="C57" s="61"/>
      <c r="D57" s="61"/>
      <c r="E57" s="61"/>
      <c r="F57" s="61"/>
      <c r="G57" s="61"/>
      <c r="H57" s="61"/>
    </row>
    <row r="58" spans="2:8">
      <c r="B58" s="61"/>
      <c r="C58" s="61"/>
      <c r="D58" s="61"/>
      <c r="E58" s="61"/>
      <c r="F58" s="61"/>
      <c r="G58" s="61"/>
      <c r="H58" s="61"/>
    </row>
    <row r="85" spans="1:3">
      <c r="A85" s="68" t="s">
        <v>119</v>
      </c>
      <c r="B85" t="s">
        <v>122</v>
      </c>
      <c r="C85"/>
    </row>
    <row r="86" spans="1:3">
      <c r="A86" s="23" t="s">
        <v>19</v>
      </c>
      <c r="B86" s="69">
        <v>602</v>
      </c>
      <c r="C86"/>
    </row>
    <row r="87" spans="1:3">
      <c r="A87" s="23" t="s">
        <v>20</v>
      </c>
      <c r="B87" s="69">
        <v>434</v>
      </c>
      <c r="C87"/>
    </row>
    <row r="88" spans="1:3">
      <c r="A88" s="23" t="s">
        <v>21</v>
      </c>
      <c r="B88" s="69">
        <v>164</v>
      </c>
      <c r="C88"/>
    </row>
    <row r="89" spans="1:3">
      <c r="A89" s="23" t="s">
        <v>120</v>
      </c>
      <c r="B89" s="69">
        <v>1200</v>
      </c>
      <c r="C89"/>
    </row>
    <row r="90" spans="1:3">
      <c r="A90"/>
      <c r="B90"/>
      <c r="C90"/>
    </row>
    <row r="91" spans="1:3">
      <c r="A91"/>
      <c r="B91"/>
      <c r="C91"/>
    </row>
    <row r="92" spans="1:3">
      <c r="A92"/>
      <c r="B92"/>
      <c r="C92"/>
    </row>
    <row r="93" spans="1:3">
      <c r="A93"/>
      <c r="B93"/>
      <c r="C93"/>
    </row>
    <row r="94" spans="1:3">
      <c r="A94"/>
      <c r="B94"/>
      <c r="C94"/>
    </row>
    <row r="95" spans="1:3">
      <c r="A95"/>
      <c r="B95"/>
      <c r="C95"/>
    </row>
    <row r="96" spans="1:3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1:3">
      <c r="A101"/>
      <c r="B101"/>
      <c r="C101"/>
    </row>
    <row r="102" spans="1:3">
      <c r="A102"/>
      <c r="B102"/>
      <c r="C102"/>
    </row>
  </sheetData>
  <pageMargins left="0.7" right="0.7" top="0.75" bottom="0.75" header="0.3" footer="0.3"/>
  <pageSetup orientation="portrait" horizontalDpi="4294967293" verticalDpi="0" r:id="rId6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F806-F017-4DF4-BD7B-A4669EF33434}">
  <sheetPr>
    <tabColor rgb="FFC00000"/>
  </sheetPr>
  <dimension ref="A1:AB32"/>
  <sheetViews>
    <sheetView showGridLines="0" topLeftCell="A8" zoomScaleNormal="100" workbookViewId="0">
      <selection activeCell="C30" sqref="C30"/>
    </sheetView>
  </sheetViews>
  <sheetFormatPr defaultColWidth="11.44140625" defaultRowHeight="14.4"/>
  <cols>
    <col min="8" max="8" width="7" customWidth="1"/>
    <col min="9" max="28" width="3.21875" customWidth="1"/>
  </cols>
  <sheetData>
    <row r="1" spans="1:28">
      <c r="A1">
        <f ca="1">RANDBETWEEN(0, 8)</f>
        <v>5</v>
      </c>
    </row>
    <row r="2" spans="1:28" ht="33.6">
      <c r="A2" s="19" t="s">
        <v>30</v>
      </c>
    </row>
    <row r="3" spans="1:28" ht="16.95" customHeight="1">
      <c r="A3" s="19"/>
      <c r="H3" s="20" t="s">
        <v>31</v>
      </c>
      <c r="I3" s="21">
        <v>1</v>
      </c>
      <c r="J3" s="21"/>
      <c r="K3" s="21"/>
      <c r="L3" s="21"/>
      <c r="M3" s="21">
        <v>5</v>
      </c>
      <c r="N3" s="21"/>
      <c r="O3" s="21"/>
      <c r="P3" s="21"/>
      <c r="Q3" s="21"/>
      <c r="R3" s="21">
        <v>10</v>
      </c>
      <c r="S3" s="21">
        <v>11</v>
      </c>
      <c r="T3" s="21"/>
      <c r="U3" s="21"/>
      <c r="V3" s="21"/>
      <c r="W3" s="21"/>
      <c r="X3" s="21">
        <v>16</v>
      </c>
      <c r="Y3" s="21"/>
      <c r="Z3" s="21"/>
      <c r="AA3" s="21"/>
      <c r="AB3" s="21">
        <v>20</v>
      </c>
    </row>
    <row r="4" spans="1:28" ht="15.6">
      <c r="A4" t="s">
        <v>32</v>
      </c>
      <c r="H4" s="22" t="s">
        <v>33</v>
      </c>
      <c r="I4" s="23">
        <v>0</v>
      </c>
      <c r="J4" s="23">
        <v>0</v>
      </c>
      <c r="K4" s="23">
        <v>0</v>
      </c>
      <c r="L4" s="23">
        <v>0</v>
      </c>
      <c r="M4" s="24">
        <v>1</v>
      </c>
      <c r="N4" s="23">
        <v>2</v>
      </c>
      <c r="O4" s="23">
        <v>2</v>
      </c>
      <c r="P4" s="23">
        <v>2</v>
      </c>
      <c r="Q4" s="23">
        <v>2</v>
      </c>
      <c r="R4" s="24">
        <v>3</v>
      </c>
      <c r="S4" s="24">
        <v>3</v>
      </c>
      <c r="T4" s="23">
        <v>3</v>
      </c>
      <c r="U4" s="23">
        <v>4</v>
      </c>
      <c r="V4" s="23">
        <v>4</v>
      </c>
      <c r="W4" s="23">
        <v>5</v>
      </c>
      <c r="X4" s="24">
        <v>6</v>
      </c>
      <c r="Y4" s="23">
        <v>6</v>
      </c>
      <c r="Z4" s="23">
        <v>6</v>
      </c>
      <c r="AA4" s="23">
        <v>7</v>
      </c>
      <c r="AB4" s="23">
        <v>8</v>
      </c>
    </row>
    <row r="5" spans="1:28" ht="15.6">
      <c r="M5" s="25" t="s">
        <v>34</v>
      </c>
      <c r="S5" s="25" t="s">
        <v>35</v>
      </c>
      <c r="X5" s="25" t="s">
        <v>36</v>
      </c>
    </row>
    <row r="6" spans="1:28" ht="15.6">
      <c r="A6" s="65" t="s">
        <v>37</v>
      </c>
      <c r="M6" s="27" t="s">
        <v>38</v>
      </c>
      <c r="S6" s="27" t="s">
        <v>39</v>
      </c>
      <c r="X6" s="27" t="s">
        <v>40</v>
      </c>
    </row>
    <row r="7" spans="1:28">
      <c r="A7" s="66" t="s">
        <v>41</v>
      </c>
      <c r="M7">
        <f>_xlfn.QUARTILE.EXC(I4:AB4,1)</f>
        <v>1.25</v>
      </c>
      <c r="S7">
        <f>_xlfn.QUARTILE.EXC(I4:AB4,2)</f>
        <v>3</v>
      </c>
      <c r="X7">
        <f>_xlfn.QUARTILE.EXC(I4:AB4,3)</f>
        <v>5.75</v>
      </c>
    </row>
    <row r="8" spans="1:28">
      <c r="A8" s="66" t="s">
        <v>42</v>
      </c>
      <c r="M8" s="28" t="s">
        <v>43</v>
      </c>
      <c r="N8" s="29"/>
      <c r="O8" s="29"/>
      <c r="P8" s="29"/>
      <c r="Q8" s="29"/>
      <c r="R8" s="29"/>
      <c r="S8" s="28" t="s">
        <v>44</v>
      </c>
      <c r="T8" s="29"/>
      <c r="U8" s="29"/>
      <c r="V8" s="29"/>
      <c r="W8" s="29"/>
      <c r="X8" s="28" t="s">
        <v>45</v>
      </c>
      <c r="Y8" s="30"/>
    </row>
    <row r="9" spans="1:28">
      <c r="A9" s="26"/>
      <c r="M9" s="31"/>
      <c r="N9" s="31"/>
      <c r="O9" s="31"/>
      <c r="P9" s="31"/>
      <c r="Q9" s="31"/>
      <c r="R9" s="31"/>
      <c r="S9" s="28" t="s">
        <v>46</v>
      </c>
      <c r="T9" s="31"/>
      <c r="U9" s="31"/>
      <c r="V9" s="31"/>
      <c r="W9" s="31"/>
      <c r="X9" s="31"/>
    </row>
    <row r="10" spans="1:28">
      <c r="A10" s="65" t="s">
        <v>47</v>
      </c>
    </row>
    <row r="11" spans="1:28">
      <c r="A11" s="65" t="s">
        <v>48</v>
      </c>
    </row>
    <row r="13" spans="1:28">
      <c r="A13" s="58">
        <f ca="1">RANDBETWEEN(0,8)</f>
        <v>4</v>
      </c>
    </row>
    <row r="14" spans="1:28">
      <c r="A14" s="58">
        <f t="shared" ref="A14:A32" ca="1" si="0">RANDBETWEEN(0,8)</f>
        <v>3</v>
      </c>
    </row>
    <row r="15" spans="1:28">
      <c r="A15" s="58">
        <f t="shared" ca="1" si="0"/>
        <v>5</v>
      </c>
    </row>
    <row r="16" spans="1:28">
      <c r="A16" s="58">
        <f t="shared" ca="1" si="0"/>
        <v>1</v>
      </c>
    </row>
    <row r="17" spans="1:1">
      <c r="A17" s="58">
        <f t="shared" ca="1" si="0"/>
        <v>8</v>
      </c>
    </row>
    <row r="18" spans="1:1">
      <c r="A18" s="58">
        <f t="shared" ca="1" si="0"/>
        <v>6</v>
      </c>
    </row>
    <row r="19" spans="1:1">
      <c r="A19" s="58">
        <f t="shared" ca="1" si="0"/>
        <v>7</v>
      </c>
    </row>
    <row r="20" spans="1:1">
      <c r="A20" s="58">
        <f t="shared" ca="1" si="0"/>
        <v>7</v>
      </c>
    </row>
    <row r="21" spans="1:1">
      <c r="A21" s="58">
        <f t="shared" ca="1" si="0"/>
        <v>7</v>
      </c>
    </row>
    <row r="22" spans="1:1">
      <c r="A22" s="58">
        <f t="shared" ca="1" si="0"/>
        <v>2</v>
      </c>
    </row>
    <row r="23" spans="1:1">
      <c r="A23" s="58">
        <f t="shared" ca="1" si="0"/>
        <v>7</v>
      </c>
    </row>
    <row r="24" spans="1:1">
      <c r="A24" s="58">
        <f t="shared" ca="1" si="0"/>
        <v>0</v>
      </c>
    </row>
    <row r="25" spans="1:1">
      <c r="A25" s="58">
        <f t="shared" ca="1" si="0"/>
        <v>3</v>
      </c>
    </row>
    <row r="26" spans="1:1">
      <c r="A26" s="58">
        <f t="shared" ca="1" si="0"/>
        <v>6</v>
      </c>
    </row>
    <row r="27" spans="1:1">
      <c r="A27" s="58">
        <f t="shared" ca="1" si="0"/>
        <v>7</v>
      </c>
    </row>
    <row r="28" spans="1:1">
      <c r="A28" s="58">
        <f t="shared" ca="1" si="0"/>
        <v>4</v>
      </c>
    </row>
    <row r="29" spans="1:1">
      <c r="A29" s="58">
        <f t="shared" ca="1" si="0"/>
        <v>6</v>
      </c>
    </row>
    <row r="30" spans="1:1">
      <c r="A30" s="58">
        <f t="shared" ca="1" si="0"/>
        <v>8</v>
      </c>
    </row>
    <row r="31" spans="1:1">
      <c r="A31" s="58">
        <f t="shared" ca="1" si="0"/>
        <v>8</v>
      </c>
    </row>
    <row r="32" spans="1:1">
      <c r="A32" s="58">
        <f t="shared" ca="1" si="0"/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7DF8-6303-4518-8AC8-858485F05D9C}">
  <sheetPr>
    <tabColor rgb="FFC00000"/>
  </sheetPr>
  <dimension ref="A1:H27"/>
  <sheetViews>
    <sheetView showGridLines="0" zoomScale="87" zoomScaleNormal="100" workbookViewId="0">
      <selection activeCell="D15" sqref="D15"/>
    </sheetView>
  </sheetViews>
  <sheetFormatPr defaultColWidth="11.44140625" defaultRowHeight="14.4"/>
  <cols>
    <col min="3" max="3" width="15.77734375" customWidth="1"/>
  </cols>
  <sheetData>
    <row r="1" spans="1:5" ht="20.399999999999999" thickBot="1">
      <c r="A1" s="58">
        <f ca="1">RANDBETWEEN(0,8)</f>
        <v>4</v>
      </c>
      <c r="C1" s="3" t="s">
        <v>49</v>
      </c>
    </row>
    <row r="2" spans="1:5" ht="15" thickTop="1">
      <c r="A2" s="58">
        <f t="shared" ref="A2:A20" ca="1" si="0">RANDBETWEEN(0,8)</f>
        <v>1</v>
      </c>
    </row>
    <row r="3" spans="1:5">
      <c r="A3" s="58">
        <f t="shared" ca="1" si="0"/>
        <v>0</v>
      </c>
      <c r="C3" s="32" t="s">
        <v>50</v>
      </c>
    </row>
    <row r="4" spans="1:5">
      <c r="A4" s="58">
        <f t="shared" ca="1" si="0"/>
        <v>2</v>
      </c>
      <c r="C4" t="s">
        <v>51</v>
      </c>
      <c r="D4" s="58">
        <f ca="1">MEDIAN(A1:A20)</f>
        <v>4</v>
      </c>
      <c r="E4" s="33" t="s">
        <v>52</v>
      </c>
    </row>
    <row r="5" spans="1:5">
      <c r="A5" s="58">
        <f t="shared" ca="1" si="0"/>
        <v>7</v>
      </c>
      <c r="C5" t="s">
        <v>53</v>
      </c>
      <c r="D5" s="58">
        <f ca="1">AVERAGE(A1:A20)</f>
        <v>3.95</v>
      </c>
      <c r="E5" s="33" t="s">
        <v>54</v>
      </c>
    </row>
    <row r="6" spans="1:5">
      <c r="A6" s="58">
        <f t="shared" ca="1" si="0"/>
        <v>2</v>
      </c>
      <c r="C6" t="s">
        <v>55</v>
      </c>
      <c r="D6" s="58">
        <f t="array" aca="1" ref="D6:D7" ca="1">_xlfn.MODE.MULT(A1:A20)</f>
        <v>7</v>
      </c>
      <c r="E6" s="33" t="s">
        <v>56</v>
      </c>
    </row>
    <row r="7" spans="1:5">
      <c r="A7" s="58">
        <f t="shared" ca="1" si="0"/>
        <v>3</v>
      </c>
      <c r="D7" s="58">
        <f ca="1"/>
        <v>3</v>
      </c>
    </row>
    <row r="8" spans="1:5">
      <c r="A8" s="58">
        <f t="shared" ca="1" si="0"/>
        <v>5</v>
      </c>
    </row>
    <row r="9" spans="1:5">
      <c r="A9" s="58">
        <f t="shared" ca="1" si="0"/>
        <v>3</v>
      </c>
      <c r="C9" s="32" t="s">
        <v>57</v>
      </c>
    </row>
    <row r="10" spans="1:5">
      <c r="A10" s="58">
        <f t="shared" ca="1" si="0"/>
        <v>3</v>
      </c>
      <c r="C10" s="34" t="s">
        <v>58</v>
      </c>
      <c r="D10" s="58">
        <f ca="1">MAX(A1:A20)</f>
        <v>7</v>
      </c>
      <c r="E10" s="33" t="s">
        <v>59</v>
      </c>
    </row>
    <row r="11" spans="1:5">
      <c r="A11" s="58">
        <f t="shared" ca="1" si="0"/>
        <v>7</v>
      </c>
      <c r="C11" s="34" t="s">
        <v>60</v>
      </c>
      <c r="D11" s="58">
        <f ca="1">MIN(A1:A20)</f>
        <v>0</v>
      </c>
      <c r="E11" s="33" t="s">
        <v>61</v>
      </c>
    </row>
    <row r="12" spans="1:5">
      <c r="A12" s="58">
        <f t="shared" ca="1" si="0"/>
        <v>3</v>
      </c>
      <c r="C12" t="s">
        <v>62</v>
      </c>
      <c r="D12" s="58">
        <f ca="1">D10-D11</f>
        <v>7</v>
      </c>
      <c r="E12" s="33" t="s">
        <v>63</v>
      </c>
    </row>
    <row r="13" spans="1:5">
      <c r="A13" s="58">
        <f t="shared" ca="1" si="0"/>
        <v>7</v>
      </c>
    </row>
    <row r="14" spans="1:5">
      <c r="A14" s="58">
        <f t="shared" ca="1" si="0"/>
        <v>2</v>
      </c>
      <c r="C14" s="34" t="s">
        <v>38</v>
      </c>
      <c r="D14" s="58">
        <f ca="1">_xlfn.QUARTILE.EXC(A1:A20,1)</f>
        <v>2.25</v>
      </c>
      <c r="E14" s="33" t="s">
        <v>64</v>
      </c>
    </row>
    <row r="15" spans="1:5">
      <c r="A15" s="58">
        <f t="shared" ca="1" si="0"/>
        <v>7</v>
      </c>
      <c r="C15" s="34" t="s">
        <v>39</v>
      </c>
      <c r="D15" s="58">
        <f ca="1">_xlfn.QUARTILE.EXC(A1:A20,2)</f>
        <v>4</v>
      </c>
      <c r="E15" s="33" t="s">
        <v>65</v>
      </c>
    </row>
    <row r="16" spans="1:5">
      <c r="A16" s="58">
        <f t="shared" ca="1" si="0"/>
        <v>5</v>
      </c>
      <c r="C16" s="34" t="s">
        <v>40</v>
      </c>
      <c r="D16" s="58">
        <f ca="1">_xlfn.QUARTILE.EXC(A1:A20,3)</f>
        <v>5</v>
      </c>
      <c r="E16" s="33" t="s">
        <v>66</v>
      </c>
    </row>
    <row r="17" spans="1:8">
      <c r="A17" s="58">
        <f t="shared" ca="1" si="0"/>
        <v>4</v>
      </c>
    </row>
    <row r="18" spans="1:8">
      <c r="A18" s="58">
        <f t="shared" ca="1" si="0"/>
        <v>5</v>
      </c>
      <c r="C18" t="s">
        <v>67</v>
      </c>
      <c r="D18" s="58">
        <f ca="1">D16-D14</f>
        <v>2.75</v>
      </c>
      <c r="E18" s="33" t="s">
        <v>68</v>
      </c>
    </row>
    <row r="19" spans="1:8">
      <c r="A19" s="58">
        <f t="shared" ca="1" si="0"/>
        <v>5</v>
      </c>
    </row>
    <row r="20" spans="1:8">
      <c r="A20" s="58">
        <f t="shared" ca="1" si="0"/>
        <v>4</v>
      </c>
      <c r="C20" t="s">
        <v>69</v>
      </c>
      <c r="D20" s="58">
        <f ca="1">D16+1.5*D18</f>
        <v>9.125</v>
      </c>
      <c r="E20" s="33" t="s">
        <v>70</v>
      </c>
      <c r="G20" t="s">
        <v>123</v>
      </c>
    </row>
    <row r="21" spans="1:8">
      <c r="C21" t="s">
        <v>71</v>
      </c>
      <c r="D21" s="58">
        <f ca="1">D14-1.5*D18</f>
        <v>-1.875</v>
      </c>
      <c r="E21" s="33" t="s">
        <v>72</v>
      </c>
      <c r="G21">
        <v>1.5</v>
      </c>
      <c r="H21" t="s">
        <v>124</v>
      </c>
    </row>
    <row r="22" spans="1:8">
      <c r="G22">
        <v>-1.5</v>
      </c>
      <c r="H22" t="s">
        <v>125</v>
      </c>
    </row>
    <row r="23" spans="1:8">
      <c r="C23" t="s">
        <v>73</v>
      </c>
      <c r="D23" s="58">
        <f ca="1">_xlfn.VAR.S(A1:A20)</f>
        <v>4.2605263157894733</v>
      </c>
      <c r="E23" s="33" t="s">
        <v>74</v>
      </c>
    </row>
    <row r="24" spans="1:8">
      <c r="C24" t="s">
        <v>75</v>
      </c>
      <c r="D24" s="58">
        <f ca="1">_xlfn.STDEV.S(A1:A20)</f>
        <v>2.0641042405337657</v>
      </c>
      <c r="E24" s="33" t="s">
        <v>76</v>
      </c>
    </row>
    <row r="26" spans="1:8">
      <c r="D26" s="58"/>
    </row>
    <row r="27" spans="1:8">
      <c r="D27" s="5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DFB4-905F-442D-A151-EC1B5674FF45}">
  <sheetPr>
    <tabColor rgb="FFC00000"/>
  </sheetPr>
  <dimension ref="A1:M25"/>
  <sheetViews>
    <sheetView showGridLines="0" tabSelected="1" topLeftCell="G1" zoomScale="110" zoomScaleNormal="100" workbookViewId="0">
      <selection activeCell="O19" sqref="O19"/>
    </sheetView>
  </sheetViews>
  <sheetFormatPr defaultColWidth="8.77734375" defaultRowHeight="15.6"/>
  <cols>
    <col min="1" max="1" width="8.77734375" style="8"/>
    <col min="2" max="2" width="4.21875" style="8" customWidth="1"/>
    <col min="3" max="3" width="12.21875" style="8" customWidth="1"/>
    <col min="4" max="4" width="8.77734375" style="8" customWidth="1"/>
    <col min="5" max="5" width="4.6640625" style="8" customWidth="1"/>
    <col min="6" max="16384" width="8.77734375" style="8"/>
  </cols>
  <sheetData>
    <row r="1" spans="1:13" ht="20.399999999999999" thickBot="1">
      <c r="A1" s="27" t="s">
        <v>77</v>
      </c>
      <c r="C1" s="3" t="s">
        <v>78</v>
      </c>
      <c r="D1" s="3"/>
    </row>
    <row r="2" spans="1:13" ht="16.2" thickTop="1">
      <c r="A2" s="72">
        <v>0</v>
      </c>
    </row>
    <row r="3" spans="1:13">
      <c r="A3" s="72">
        <v>0</v>
      </c>
      <c r="C3" s="35"/>
      <c r="D3" s="36" t="s">
        <v>77</v>
      </c>
    </row>
    <row r="4" spans="1:13">
      <c r="A4" s="72">
        <v>0</v>
      </c>
      <c r="C4" s="37" t="s">
        <v>79</v>
      </c>
      <c r="D4" s="1"/>
      <c r="E4" s="1"/>
      <c r="F4" s="1"/>
    </row>
    <row r="5" spans="1:13">
      <c r="A5" s="72">
        <v>0</v>
      </c>
      <c r="C5" s="8" t="s">
        <v>53</v>
      </c>
      <c r="D5" s="8">
        <f>AVERAGE($A$2:$A$25)</f>
        <v>2.125</v>
      </c>
      <c r="F5" s="38" t="s">
        <v>80</v>
      </c>
    </row>
    <row r="6" spans="1:13">
      <c r="A6" s="72">
        <v>1</v>
      </c>
      <c r="C6" s="8" t="s">
        <v>81</v>
      </c>
      <c r="D6" s="8">
        <f>MEDIAN(A2:A25)</f>
        <v>2</v>
      </c>
      <c r="F6" s="38" t="s">
        <v>82</v>
      </c>
    </row>
    <row r="7" spans="1:13">
      <c r="A7" s="72">
        <v>1</v>
      </c>
      <c r="C7" s="8" t="s">
        <v>55</v>
      </c>
      <c r="D7" s="8">
        <f t="array" ref="D7:D8">_xlfn.MODE.MULT(A2:B25)</f>
        <v>2</v>
      </c>
      <c r="F7" s="38" t="s">
        <v>83</v>
      </c>
    </row>
    <row r="8" spans="1:13">
      <c r="A8" s="73">
        <v>1</v>
      </c>
      <c r="D8" s="8">
        <v>2</v>
      </c>
      <c r="F8" s="39"/>
    </row>
    <row r="9" spans="1:13">
      <c r="A9" s="73">
        <v>1</v>
      </c>
      <c r="F9" s="39"/>
    </row>
    <row r="10" spans="1:13">
      <c r="A10" s="73">
        <v>1</v>
      </c>
      <c r="C10" s="27" t="s">
        <v>84</v>
      </c>
    </row>
    <row r="11" spans="1:13">
      <c r="A11" s="73">
        <v>2</v>
      </c>
      <c r="C11" s="40" t="s">
        <v>58</v>
      </c>
      <c r="D11" s="39">
        <f t="array" ref="D11">MAX(A2:A25)</f>
        <v>7</v>
      </c>
      <c r="F11" s="41" t="s">
        <v>85</v>
      </c>
    </row>
    <row r="12" spans="1:13">
      <c r="A12" s="73">
        <v>2</v>
      </c>
      <c r="C12" s="40" t="s">
        <v>60</v>
      </c>
      <c r="D12" s="39">
        <f t="array" ref="D12">MIN(A2:A25)</f>
        <v>0</v>
      </c>
      <c r="F12" s="41" t="s">
        <v>86</v>
      </c>
    </row>
    <row r="13" spans="1:13">
      <c r="A13" s="73">
        <v>2</v>
      </c>
      <c r="C13" s="1" t="s">
        <v>62</v>
      </c>
      <c r="D13" s="8">
        <f>D11-D12</f>
        <v>7</v>
      </c>
      <c r="F13" s="41" t="s">
        <v>87</v>
      </c>
    </row>
    <row r="14" spans="1:13">
      <c r="A14" s="74">
        <v>2</v>
      </c>
    </row>
    <row r="15" spans="1:13">
      <c r="A15" s="74">
        <v>2</v>
      </c>
      <c r="C15" s="40" t="s">
        <v>38</v>
      </c>
      <c r="D15" s="39">
        <f>_xlfn.QUARTILE.EXC(A2:A25,1)</f>
        <v>1</v>
      </c>
      <c r="F15" s="41" t="s">
        <v>88</v>
      </c>
      <c r="J15" s="71">
        <v>0.25</v>
      </c>
      <c r="K15" s="8">
        <v>24</v>
      </c>
      <c r="L15" s="8">
        <v>0.25</v>
      </c>
      <c r="M15" s="8">
        <f>K15*L15</f>
        <v>6</v>
      </c>
    </row>
    <row r="16" spans="1:13">
      <c r="A16" s="74">
        <v>2</v>
      </c>
      <c r="C16" s="39" t="s">
        <v>39</v>
      </c>
      <c r="D16" s="39">
        <f>_xlfn.QUARTILE.EXC(A2:A25,2)</f>
        <v>2</v>
      </c>
      <c r="F16" s="38" t="s">
        <v>89</v>
      </c>
      <c r="J16" s="71">
        <v>0.5</v>
      </c>
      <c r="K16" s="8">
        <v>24</v>
      </c>
      <c r="L16" s="8">
        <v>0.5</v>
      </c>
      <c r="M16" s="8">
        <f>K16*L16</f>
        <v>12</v>
      </c>
    </row>
    <row r="17" spans="1:13">
      <c r="A17" s="74">
        <v>2</v>
      </c>
      <c r="C17" s="40" t="s">
        <v>40</v>
      </c>
      <c r="D17" s="39">
        <f>_xlfn.QUARTILE.EXC(A2:A25, 3)</f>
        <v>3</v>
      </c>
      <c r="F17" s="41" t="s">
        <v>90</v>
      </c>
      <c r="J17" s="71">
        <v>0.75</v>
      </c>
      <c r="K17" s="8">
        <v>24</v>
      </c>
      <c r="L17" s="8">
        <v>0.75</v>
      </c>
      <c r="M17" s="8">
        <f>K17*L17</f>
        <v>18</v>
      </c>
    </row>
    <row r="18" spans="1:13">
      <c r="A18" s="74">
        <v>2</v>
      </c>
      <c r="C18" s="1" t="s">
        <v>67</v>
      </c>
      <c r="D18" s="8">
        <f>D17-D15</f>
        <v>2</v>
      </c>
      <c r="F18" s="41" t="s">
        <v>91</v>
      </c>
    </row>
    <row r="19" spans="1:13">
      <c r="A19" s="74">
        <v>3</v>
      </c>
      <c r="C19" s="1"/>
      <c r="F19" s="42"/>
    </row>
    <row r="20" spans="1:13">
      <c r="A20" s="8">
        <v>3</v>
      </c>
      <c r="C20" s="40" t="s">
        <v>92</v>
      </c>
      <c r="D20" s="39">
        <f>D15-1.5*D18</f>
        <v>-2</v>
      </c>
      <c r="F20" s="41" t="s">
        <v>93</v>
      </c>
    </row>
    <row r="21" spans="1:13">
      <c r="A21" s="8">
        <v>3</v>
      </c>
      <c r="C21" s="40" t="s">
        <v>94</v>
      </c>
      <c r="D21" s="39">
        <f>D17+1.5*D18</f>
        <v>6</v>
      </c>
      <c r="F21" s="41" t="s">
        <v>95</v>
      </c>
    </row>
    <row r="22" spans="1:13">
      <c r="A22" s="8">
        <v>4</v>
      </c>
    </row>
    <row r="23" spans="1:13">
      <c r="A23" s="8">
        <v>5</v>
      </c>
      <c r="C23" s="8" t="s">
        <v>73</v>
      </c>
      <c r="D23" s="43"/>
      <c r="E23" s="8">
        <f>_xlfn.VAR.S(A2:A25)</f>
        <v>3.0706521739130435</v>
      </c>
      <c r="F23" s="38" t="s">
        <v>96</v>
      </c>
    </row>
    <row r="24" spans="1:13">
      <c r="A24" s="8">
        <v>5</v>
      </c>
      <c r="C24" s="8" t="s">
        <v>75</v>
      </c>
      <c r="D24" s="43"/>
      <c r="E24" s="8">
        <f>_xlfn.STDEV.S(A2:A25)</f>
        <v>1.7523276445668041</v>
      </c>
      <c r="F24" s="38" t="s">
        <v>97</v>
      </c>
    </row>
    <row r="25" spans="1:13">
      <c r="A25" s="8">
        <v>7</v>
      </c>
    </row>
  </sheetData>
  <sortState xmlns:xlrd2="http://schemas.microsoft.com/office/spreadsheetml/2017/richdata2" ref="A2:A25">
    <sortCondition ref="A2:A25"/>
  </sortState>
  <pageMargins left="0.7" right="0.7" top="0.75" bottom="0.75" header="0.3" footer="0.3"/>
  <pageSetup paperSize="9" orientation="portrait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AF0C-2450-4912-8E3E-7881AA123C12}">
  <sheetPr>
    <tabColor rgb="FFC00000"/>
  </sheetPr>
  <dimension ref="A1:AB151"/>
  <sheetViews>
    <sheetView showGridLines="0" topLeftCell="F1" zoomScale="61" zoomScaleNormal="100" workbookViewId="0">
      <selection activeCell="R60" sqref="R60"/>
    </sheetView>
  </sheetViews>
  <sheetFormatPr defaultColWidth="12.44140625" defaultRowHeight="15.6"/>
  <cols>
    <col min="1" max="1" width="13" style="45" bestFit="1" customWidth="1"/>
    <col min="2" max="2" width="12.44140625" style="45"/>
    <col min="3" max="3" width="12.44140625" style="45" bestFit="1" customWidth="1"/>
    <col min="4" max="4" width="12.44140625" style="45"/>
    <col min="5" max="5" width="10" style="45" bestFit="1" customWidth="1"/>
    <col min="6" max="6" width="12.44140625" style="45"/>
    <col min="7" max="7" width="18.6640625" style="45" customWidth="1"/>
    <col min="8" max="11" width="12.44140625" style="45"/>
    <col min="12" max="12" width="3.6640625" style="45" customWidth="1"/>
    <col min="13" max="22" width="12.44140625" style="45"/>
    <col min="23" max="26" width="12.44140625" style="49"/>
    <col min="27" max="16384" width="12.44140625" style="45"/>
  </cols>
  <sheetData>
    <row r="1" spans="1:28" ht="20.399999999999999" thickBot="1">
      <c r="A1" s="44" t="s">
        <v>1</v>
      </c>
      <c r="B1" s="44" t="s">
        <v>1</v>
      </c>
      <c r="C1" s="44" t="s">
        <v>1</v>
      </c>
      <c r="D1" s="44" t="s">
        <v>1</v>
      </c>
      <c r="E1" s="44" t="s">
        <v>0</v>
      </c>
      <c r="G1" s="3" t="s">
        <v>78</v>
      </c>
      <c r="H1" s="3"/>
      <c r="W1" s="46" t="s">
        <v>1</v>
      </c>
      <c r="X1" s="46" t="s">
        <v>2</v>
      </c>
      <c r="Y1" s="46" t="s">
        <v>3</v>
      </c>
      <c r="Z1" s="46" t="s">
        <v>4</v>
      </c>
    </row>
    <row r="2" spans="1:28" ht="16.95" customHeight="1" thickTop="1">
      <c r="A2" s="47">
        <v>5.0999999999999996</v>
      </c>
      <c r="B2" s="47">
        <v>3.5</v>
      </c>
      <c r="C2" s="47">
        <v>1.4</v>
      </c>
      <c r="D2" s="47">
        <v>0.2</v>
      </c>
      <c r="E2" s="47" t="s">
        <v>5</v>
      </c>
      <c r="M2" s="48" t="s">
        <v>98</v>
      </c>
      <c r="N2" s="48"/>
      <c r="W2" s="49" t="b">
        <f t="shared" ref="W2:Z33" si="0">AND(A2&gt;H$23, A2&lt;H$24)</f>
        <v>1</v>
      </c>
      <c r="X2" s="49" t="b">
        <f t="shared" si="0"/>
        <v>1</v>
      </c>
      <c r="Y2" s="49" t="b">
        <f t="shared" si="0"/>
        <v>1</v>
      </c>
      <c r="Z2" s="49" t="b">
        <f t="shared" si="0"/>
        <v>1</v>
      </c>
      <c r="AA2" s="50" t="s">
        <v>99</v>
      </c>
    </row>
    <row r="3" spans="1:28">
      <c r="A3" s="47">
        <v>4.9000000000000004</v>
      </c>
      <c r="B3" s="47">
        <v>3</v>
      </c>
      <c r="C3" s="47">
        <v>1.4</v>
      </c>
      <c r="D3" s="47">
        <v>0.2</v>
      </c>
      <c r="E3" s="47" t="s">
        <v>5</v>
      </c>
      <c r="G3" s="51"/>
      <c r="H3" s="52" t="s">
        <v>1</v>
      </c>
      <c r="I3" s="52" t="s">
        <v>2</v>
      </c>
      <c r="J3" s="52" t="s">
        <v>3</v>
      </c>
      <c r="K3" s="52" t="s">
        <v>4</v>
      </c>
      <c r="M3" s="53" t="s">
        <v>100</v>
      </c>
      <c r="N3" s="48"/>
      <c r="W3" s="49" t="b">
        <f t="shared" si="0"/>
        <v>1</v>
      </c>
      <c r="X3" s="49" t="b">
        <f t="shared" si="0"/>
        <v>1</v>
      </c>
      <c r="Y3" s="49" t="b">
        <f t="shared" si="0"/>
        <v>1</v>
      </c>
      <c r="Z3" s="49" t="b">
        <f t="shared" si="0"/>
        <v>1</v>
      </c>
    </row>
    <row r="4" spans="1:28">
      <c r="A4" s="47">
        <v>4.7</v>
      </c>
      <c r="B4" s="47">
        <v>3.2</v>
      </c>
      <c r="C4" s="47">
        <v>1.3</v>
      </c>
      <c r="D4" s="47">
        <v>0.2</v>
      </c>
      <c r="E4" s="47" t="s">
        <v>5</v>
      </c>
      <c r="W4" s="49" t="b">
        <f t="shared" si="0"/>
        <v>1</v>
      </c>
      <c r="X4" s="49" t="b">
        <f t="shared" si="0"/>
        <v>1</v>
      </c>
      <c r="Y4" s="49" t="b">
        <f t="shared" si="0"/>
        <v>1</v>
      </c>
      <c r="Z4" s="49" t="b">
        <f t="shared" si="0"/>
        <v>1</v>
      </c>
    </row>
    <row r="5" spans="1:28">
      <c r="A5" s="47">
        <v>4.5999999999999996</v>
      </c>
      <c r="B5" s="47">
        <v>3.1</v>
      </c>
      <c r="C5" s="47">
        <v>1.5</v>
      </c>
      <c r="D5" s="47">
        <v>0.2</v>
      </c>
      <c r="E5" s="47" t="s">
        <v>5</v>
      </c>
      <c r="G5" s="54" t="s">
        <v>79</v>
      </c>
      <c r="W5" s="49" t="b">
        <f t="shared" si="0"/>
        <v>1</v>
      </c>
      <c r="X5" s="49" t="b">
        <f t="shared" si="0"/>
        <v>1</v>
      </c>
      <c r="Y5" s="49" t="b">
        <f t="shared" si="0"/>
        <v>1</v>
      </c>
      <c r="Z5" s="49" t="b">
        <f t="shared" si="0"/>
        <v>1</v>
      </c>
    </row>
    <row r="6" spans="1:28">
      <c r="A6" s="47">
        <v>5</v>
      </c>
      <c r="B6" s="47">
        <v>3.6</v>
      </c>
      <c r="C6" s="47">
        <v>1.4</v>
      </c>
      <c r="D6" s="47">
        <v>0.2</v>
      </c>
      <c r="E6" s="47" t="s">
        <v>5</v>
      </c>
      <c r="G6" s="45" t="s">
        <v>53</v>
      </c>
      <c r="H6" s="59">
        <f>AVERAGE(A2:A151)</f>
        <v>5.8433333333333346</v>
      </c>
      <c r="I6" s="59">
        <f t="shared" ref="I6:K6" si="1">AVERAGE(B2:B151)</f>
        <v>3.0573333333333341</v>
      </c>
      <c r="J6" s="59">
        <f t="shared" si="1"/>
        <v>3.7580000000000027</v>
      </c>
      <c r="K6" s="59">
        <f t="shared" si="1"/>
        <v>1.199333333333334</v>
      </c>
      <c r="M6" s="50" t="s">
        <v>101</v>
      </c>
      <c r="W6" s="49" t="b">
        <f t="shared" si="0"/>
        <v>1</v>
      </c>
      <c r="X6" s="49" t="b">
        <f t="shared" si="0"/>
        <v>1</v>
      </c>
      <c r="Y6" s="49" t="b">
        <f t="shared" si="0"/>
        <v>1</v>
      </c>
      <c r="Z6" s="49" t="b">
        <f t="shared" si="0"/>
        <v>1</v>
      </c>
    </row>
    <row r="7" spans="1:28">
      <c r="A7" s="47">
        <v>5.4</v>
      </c>
      <c r="B7" s="47">
        <v>3.9</v>
      </c>
      <c r="C7" s="47">
        <v>1.7</v>
      </c>
      <c r="D7" s="47">
        <v>0.4</v>
      </c>
      <c r="E7" s="47" t="s">
        <v>5</v>
      </c>
      <c r="G7" s="45" t="s">
        <v>51</v>
      </c>
      <c r="H7" s="59">
        <f>MEDIAN(A2:A151)</f>
        <v>5.8</v>
      </c>
      <c r="I7" s="59">
        <f t="shared" ref="I7:K7" si="2">MEDIAN(B2:B151)</f>
        <v>3</v>
      </c>
      <c r="J7" s="59">
        <f t="shared" si="2"/>
        <v>4.3499999999999996</v>
      </c>
      <c r="K7" s="59">
        <f t="shared" si="2"/>
        <v>1.3</v>
      </c>
      <c r="M7" s="50" t="s">
        <v>102</v>
      </c>
      <c r="W7" s="49" t="b">
        <f t="shared" si="0"/>
        <v>1</v>
      </c>
      <c r="X7" s="49" t="b">
        <f t="shared" si="0"/>
        <v>1</v>
      </c>
      <c r="Y7" s="49" t="b">
        <f t="shared" si="0"/>
        <v>1</v>
      </c>
      <c r="Z7" s="49" t="b">
        <f t="shared" si="0"/>
        <v>1</v>
      </c>
    </row>
    <row r="8" spans="1:28" ht="16.05" customHeight="1">
      <c r="A8" s="47">
        <v>4.5999999999999996</v>
      </c>
      <c r="B8" s="47">
        <v>3.4</v>
      </c>
      <c r="C8" s="47">
        <v>1.4</v>
      </c>
      <c r="D8" s="47">
        <v>0.3</v>
      </c>
      <c r="E8" s="47" t="s">
        <v>5</v>
      </c>
      <c r="G8" s="45" t="s">
        <v>55</v>
      </c>
      <c r="H8" s="60">
        <f t="array" ref="H8:H9">_xlfn.MODE.MULT(A2:A151)</f>
        <v>5</v>
      </c>
      <c r="I8" s="60">
        <f t="array" ref="I8:I9">_xlfn.MODE.MULT(B2:B151)</f>
        <v>3</v>
      </c>
      <c r="J8" s="60">
        <f t="array" ref="J8:J9">_xlfn.MODE.MULT(C2:C151)</f>
        <v>1.4</v>
      </c>
      <c r="K8" s="60">
        <f t="array" ref="K8:K9">_xlfn.MODE.MULT(D2:D151)</f>
        <v>0.2</v>
      </c>
      <c r="M8" s="50" t="s">
        <v>103</v>
      </c>
      <c r="W8" s="49" t="b">
        <f t="shared" si="0"/>
        <v>1</v>
      </c>
      <c r="X8" s="49" t="b">
        <f t="shared" si="0"/>
        <v>1</v>
      </c>
      <c r="Y8" s="49" t="b">
        <f t="shared" si="0"/>
        <v>1</v>
      </c>
      <c r="Z8" s="49" t="b">
        <f t="shared" si="0"/>
        <v>1</v>
      </c>
      <c r="AA8" s="67" t="s">
        <v>104</v>
      </c>
      <c r="AB8" s="67"/>
    </row>
    <row r="9" spans="1:28">
      <c r="A9" s="47">
        <v>5</v>
      </c>
      <c r="B9" s="47">
        <v>3.4</v>
      </c>
      <c r="C9" s="47">
        <v>1.5</v>
      </c>
      <c r="D9" s="47">
        <v>0.2</v>
      </c>
      <c r="E9" s="47" t="s">
        <v>5</v>
      </c>
      <c r="H9" s="60">
        <v>5</v>
      </c>
      <c r="I9" s="60">
        <v>3</v>
      </c>
      <c r="J9" s="60">
        <v>1.5</v>
      </c>
      <c r="K9" s="60">
        <v>0.2</v>
      </c>
      <c r="W9" s="49" t="b">
        <f t="shared" si="0"/>
        <v>1</v>
      </c>
      <c r="X9" s="49" t="b">
        <f t="shared" si="0"/>
        <v>1</v>
      </c>
      <c r="Y9" s="49" t="b">
        <f t="shared" si="0"/>
        <v>1</v>
      </c>
      <c r="Z9" s="49" t="b">
        <f t="shared" si="0"/>
        <v>1</v>
      </c>
      <c r="AA9" s="67"/>
      <c r="AB9" s="67"/>
    </row>
    <row r="10" spans="1:28">
      <c r="A10" s="47">
        <v>4.4000000000000004</v>
      </c>
      <c r="B10" s="47">
        <v>2.9</v>
      </c>
      <c r="C10" s="47">
        <v>1.4</v>
      </c>
      <c r="D10" s="47">
        <v>0.2</v>
      </c>
      <c r="E10" s="47" t="s">
        <v>5</v>
      </c>
      <c r="W10" s="49" t="b">
        <f t="shared" si="0"/>
        <v>1</v>
      </c>
      <c r="X10" s="49" t="b">
        <f t="shared" si="0"/>
        <v>1</v>
      </c>
      <c r="Y10" s="49" t="b">
        <f t="shared" si="0"/>
        <v>1</v>
      </c>
      <c r="Z10" s="49" t="b">
        <f t="shared" si="0"/>
        <v>1</v>
      </c>
      <c r="AA10" s="67"/>
      <c r="AB10" s="67"/>
    </row>
    <row r="11" spans="1:28">
      <c r="A11" s="47">
        <v>4.9000000000000004</v>
      </c>
      <c r="B11" s="47">
        <v>3.1</v>
      </c>
      <c r="C11" s="47">
        <v>1.5</v>
      </c>
      <c r="D11" s="47">
        <v>0.1</v>
      </c>
      <c r="E11" s="47" t="s">
        <v>5</v>
      </c>
      <c r="G11" s="54" t="s">
        <v>84</v>
      </c>
      <c r="W11" s="49" t="b">
        <f t="shared" si="0"/>
        <v>1</v>
      </c>
      <c r="X11" s="49" t="b">
        <f t="shared" si="0"/>
        <v>1</v>
      </c>
      <c r="Y11" s="49" t="b">
        <f t="shared" si="0"/>
        <v>1</v>
      </c>
      <c r="Z11" s="49" t="b">
        <f t="shared" si="0"/>
        <v>1</v>
      </c>
      <c r="AA11" s="67"/>
      <c r="AB11" s="67"/>
    </row>
    <row r="12" spans="1:28">
      <c r="A12" s="47">
        <v>5.4</v>
      </c>
      <c r="B12" s="47">
        <v>3.7</v>
      </c>
      <c r="C12" s="47">
        <v>1.5</v>
      </c>
      <c r="D12" s="47">
        <v>0.2</v>
      </c>
      <c r="E12" s="47" t="s">
        <v>5</v>
      </c>
      <c r="G12" s="55" t="s">
        <v>58</v>
      </c>
      <c r="H12" s="58">
        <f>MAX(A2:A151)</f>
        <v>7.9</v>
      </c>
      <c r="I12" s="58">
        <f t="shared" ref="I12:K12" si="3">MAX(B2:B151)</f>
        <v>4.4000000000000004</v>
      </c>
      <c r="J12" s="58">
        <f t="shared" si="3"/>
        <v>6.9</v>
      </c>
      <c r="K12" s="58">
        <f t="shared" si="3"/>
        <v>2.5</v>
      </c>
      <c r="L12" s="55"/>
      <c r="M12" s="50" t="s">
        <v>105</v>
      </c>
      <c r="W12" s="49" t="b">
        <f t="shared" si="0"/>
        <v>1</v>
      </c>
      <c r="X12" s="49" t="b">
        <f t="shared" si="0"/>
        <v>1</v>
      </c>
      <c r="Y12" s="49" t="b">
        <f t="shared" si="0"/>
        <v>1</v>
      </c>
      <c r="Z12" s="49" t="b">
        <f t="shared" si="0"/>
        <v>1</v>
      </c>
      <c r="AA12" s="67"/>
      <c r="AB12" s="67"/>
    </row>
    <row r="13" spans="1:28">
      <c r="A13" s="47">
        <v>4.8</v>
      </c>
      <c r="B13" s="47">
        <v>3.4</v>
      </c>
      <c r="C13" s="47">
        <v>1.6</v>
      </c>
      <c r="D13" s="47">
        <v>0.2</v>
      </c>
      <c r="E13" s="47" t="s">
        <v>5</v>
      </c>
      <c r="G13" s="55" t="s">
        <v>60</v>
      </c>
      <c r="H13" s="58">
        <f>MIN(A2:A151)</f>
        <v>4.3</v>
      </c>
      <c r="I13" s="58">
        <f t="shared" ref="I13:K13" si="4">MIN(B2:B151)</f>
        <v>2</v>
      </c>
      <c r="J13" s="58">
        <f t="shared" si="4"/>
        <v>1</v>
      </c>
      <c r="K13" s="58">
        <f t="shared" si="4"/>
        <v>0.1</v>
      </c>
      <c r="L13" s="55"/>
      <c r="M13" s="50" t="s">
        <v>106</v>
      </c>
      <c r="W13" s="49" t="b">
        <f t="shared" si="0"/>
        <v>1</v>
      </c>
      <c r="X13" s="49" t="b">
        <f t="shared" si="0"/>
        <v>1</v>
      </c>
      <c r="Y13" s="49" t="b">
        <f t="shared" si="0"/>
        <v>1</v>
      </c>
      <c r="Z13" s="49" t="b">
        <f t="shared" si="0"/>
        <v>1</v>
      </c>
      <c r="AA13" s="67"/>
      <c r="AB13" s="67"/>
    </row>
    <row r="14" spans="1:28">
      <c r="A14" s="47">
        <v>4.8</v>
      </c>
      <c r="B14" s="47">
        <v>3</v>
      </c>
      <c r="C14" s="47">
        <v>1.4</v>
      </c>
      <c r="D14" s="47">
        <v>0.1</v>
      </c>
      <c r="E14" s="47" t="s">
        <v>5</v>
      </c>
      <c r="G14" s="45" t="s">
        <v>62</v>
      </c>
      <c r="H14" s="58">
        <f>H12-H13</f>
        <v>3.6000000000000005</v>
      </c>
      <c r="I14" s="58">
        <f t="shared" ref="I14:K14" si="5">I12-I13</f>
        <v>2.4000000000000004</v>
      </c>
      <c r="J14" s="58">
        <f t="shared" si="5"/>
        <v>5.9</v>
      </c>
      <c r="K14" s="58">
        <f t="shared" si="5"/>
        <v>2.4</v>
      </c>
      <c r="M14" s="50" t="s">
        <v>107</v>
      </c>
      <c r="W14" s="49" t="b">
        <f t="shared" si="0"/>
        <v>1</v>
      </c>
      <c r="X14" s="49" t="b">
        <f t="shared" si="0"/>
        <v>1</v>
      </c>
      <c r="Y14" s="49" t="b">
        <f t="shared" si="0"/>
        <v>1</v>
      </c>
      <c r="Z14" s="49" t="b">
        <f t="shared" si="0"/>
        <v>1</v>
      </c>
      <c r="AA14" s="67"/>
      <c r="AB14" s="67"/>
    </row>
    <row r="15" spans="1:28">
      <c r="A15" s="47">
        <v>4.3</v>
      </c>
      <c r="B15" s="47">
        <v>3</v>
      </c>
      <c r="C15" s="47">
        <v>1.1000000000000001</v>
      </c>
      <c r="D15" s="47">
        <v>0.1</v>
      </c>
      <c r="E15" s="47" t="s">
        <v>5</v>
      </c>
      <c r="G15" s="55" t="s">
        <v>38</v>
      </c>
      <c r="H15" s="58">
        <f>_xlfn.QUARTILE.EXC(A2:A151, 1)</f>
        <v>5.0999999999999996</v>
      </c>
      <c r="I15" s="58">
        <f t="shared" ref="I15:K15" si="6">_xlfn.QUARTILE.EXC(B2:B151, 1)</f>
        <v>2.8</v>
      </c>
      <c r="J15" s="58">
        <f t="shared" si="6"/>
        <v>1.5750000000000002</v>
      </c>
      <c r="K15" s="58">
        <f t="shared" si="6"/>
        <v>0.3</v>
      </c>
      <c r="L15" s="55"/>
      <c r="M15" s="50" t="s">
        <v>108</v>
      </c>
      <c r="W15" s="49" t="b">
        <f t="shared" si="0"/>
        <v>1</v>
      </c>
      <c r="X15" s="49" t="b">
        <f t="shared" si="0"/>
        <v>1</v>
      </c>
      <c r="Y15" s="49" t="b">
        <f t="shared" si="0"/>
        <v>1</v>
      </c>
      <c r="Z15" s="49" t="b">
        <f t="shared" si="0"/>
        <v>1</v>
      </c>
      <c r="AA15" s="67"/>
      <c r="AB15" s="67"/>
    </row>
    <row r="16" spans="1:28">
      <c r="A16" s="47">
        <v>5.8</v>
      </c>
      <c r="B16" s="47">
        <v>4</v>
      </c>
      <c r="C16" s="47">
        <v>1.2</v>
      </c>
      <c r="D16" s="47">
        <v>0.2</v>
      </c>
      <c r="E16" s="47" t="s">
        <v>5</v>
      </c>
      <c r="G16" s="55" t="s">
        <v>40</v>
      </c>
      <c r="H16" s="58">
        <f>_xlfn.QUARTILE.EXC(A2:A151, 3)</f>
        <v>6.4</v>
      </c>
      <c r="I16" s="58">
        <f t="shared" ref="I16:K16" si="7">_xlfn.QUARTILE.EXC(B2:B151, 3)</f>
        <v>3.3249999999999997</v>
      </c>
      <c r="J16" s="58">
        <f t="shared" si="7"/>
        <v>5.0999999999999996</v>
      </c>
      <c r="K16" s="58">
        <f t="shared" si="7"/>
        <v>1.8</v>
      </c>
      <c r="L16" s="55"/>
      <c r="M16" s="50" t="s">
        <v>109</v>
      </c>
      <c r="W16" s="49" t="b">
        <f t="shared" si="0"/>
        <v>1</v>
      </c>
      <c r="X16" s="49" t="b">
        <f t="shared" si="0"/>
        <v>1</v>
      </c>
      <c r="Y16" s="49" t="b">
        <f t="shared" si="0"/>
        <v>1</v>
      </c>
      <c r="Z16" s="49" t="b">
        <f t="shared" si="0"/>
        <v>1</v>
      </c>
    </row>
    <row r="17" spans="1:28">
      <c r="A17" s="47">
        <v>5.7</v>
      </c>
      <c r="B17" s="47">
        <v>4.4000000000000004</v>
      </c>
      <c r="C17" s="47">
        <v>1.5</v>
      </c>
      <c r="D17" s="47">
        <v>0.4</v>
      </c>
      <c r="E17" s="47" t="s">
        <v>5</v>
      </c>
      <c r="G17" s="45" t="s">
        <v>67</v>
      </c>
      <c r="H17" s="58">
        <f>H16-H15</f>
        <v>1.3000000000000007</v>
      </c>
      <c r="I17" s="58">
        <f t="shared" ref="I17:K17" si="8">I16-I15</f>
        <v>0.52499999999999991</v>
      </c>
      <c r="J17" s="58">
        <f t="shared" si="8"/>
        <v>3.5249999999999995</v>
      </c>
      <c r="K17" s="58">
        <f t="shared" si="8"/>
        <v>1.5</v>
      </c>
      <c r="M17" s="50" t="s">
        <v>110</v>
      </c>
      <c r="W17" s="49" t="b">
        <f t="shared" si="0"/>
        <v>1</v>
      </c>
      <c r="X17" s="49" t="b">
        <f t="shared" si="0"/>
        <v>0</v>
      </c>
      <c r="Y17" s="49" t="b">
        <f t="shared" si="0"/>
        <v>1</v>
      </c>
      <c r="Z17" s="49" t="b">
        <f t="shared" si="0"/>
        <v>1</v>
      </c>
    </row>
    <row r="18" spans="1:28">
      <c r="A18" s="47">
        <v>5.4</v>
      </c>
      <c r="B18" s="47">
        <v>3.9</v>
      </c>
      <c r="C18" s="47">
        <v>1.3</v>
      </c>
      <c r="D18" s="47">
        <v>0.4</v>
      </c>
      <c r="E18" s="47" t="s">
        <v>5</v>
      </c>
      <c r="W18" s="49" t="b">
        <f t="shared" si="0"/>
        <v>1</v>
      </c>
      <c r="X18" s="49" t="b">
        <f t="shared" si="0"/>
        <v>1</v>
      </c>
      <c r="Y18" s="49" t="b">
        <f t="shared" si="0"/>
        <v>1</v>
      </c>
      <c r="Z18" s="49" t="b">
        <f t="shared" si="0"/>
        <v>1</v>
      </c>
    </row>
    <row r="19" spans="1:28" ht="22.2">
      <c r="A19" s="47">
        <v>5.0999999999999996</v>
      </c>
      <c r="B19" s="47">
        <v>3.5</v>
      </c>
      <c r="C19" s="47">
        <v>1.4</v>
      </c>
      <c r="D19" s="47">
        <v>0.3</v>
      </c>
      <c r="E19" s="47" t="s">
        <v>5</v>
      </c>
      <c r="G19" s="45" t="s">
        <v>111</v>
      </c>
      <c r="H19" s="59">
        <f>_xlfn.VAR.S(A2:A151)</f>
        <v>0.68569351230421827</v>
      </c>
      <c r="I19" s="59">
        <f t="shared" ref="I19:K19" si="9">_xlfn.VAR.S(B2:B151)</f>
        <v>0.18997941834450652</v>
      </c>
      <c r="J19" s="59">
        <f t="shared" si="9"/>
        <v>3.1162778523489791</v>
      </c>
      <c r="K19" s="59">
        <f t="shared" si="9"/>
        <v>0.58100626398210176</v>
      </c>
      <c r="M19" s="50" t="s">
        <v>112</v>
      </c>
      <c r="W19" s="49" t="b">
        <f t="shared" si="0"/>
        <v>1</v>
      </c>
      <c r="X19" s="49" t="b">
        <f t="shared" si="0"/>
        <v>1</v>
      </c>
      <c r="Y19" s="49" t="b">
        <f t="shared" si="0"/>
        <v>1</v>
      </c>
      <c r="Z19" s="49" t="b">
        <f t="shared" si="0"/>
        <v>1</v>
      </c>
      <c r="AB19" s="56"/>
    </row>
    <row r="20" spans="1:28">
      <c r="A20" s="47">
        <v>5.7</v>
      </c>
      <c r="B20" s="47">
        <v>3.8</v>
      </c>
      <c r="C20" s="47">
        <v>1.7</v>
      </c>
      <c r="D20" s="47">
        <v>0.3</v>
      </c>
      <c r="E20" s="47" t="s">
        <v>5</v>
      </c>
      <c r="G20" s="45" t="s">
        <v>75</v>
      </c>
      <c r="H20" s="59">
        <f>_xlfn.STDEV.S(A2:A151)</f>
        <v>0.82806612797784351</v>
      </c>
      <c r="I20" s="59">
        <f t="shared" ref="I20:K20" si="10">_xlfn.STDEV.S(B2:B151)</f>
        <v>0.43586628493668389</v>
      </c>
      <c r="J20" s="59">
        <f t="shared" si="10"/>
        <v>1.7652982332594624</v>
      </c>
      <c r="K20" s="59">
        <f t="shared" si="10"/>
        <v>0.76223766896034584</v>
      </c>
      <c r="M20" s="50" t="s">
        <v>113</v>
      </c>
      <c r="W20" s="49" t="b">
        <f t="shared" si="0"/>
        <v>1</v>
      </c>
      <c r="X20" s="49" t="b">
        <f t="shared" si="0"/>
        <v>1</v>
      </c>
      <c r="Y20" s="49" t="b">
        <f t="shared" si="0"/>
        <v>1</v>
      </c>
      <c r="Z20" s="49" t="b">
        <f t="shared" si="0"/>
        <v>1</v>
      </c>
    </row>
    <row r="21" spans="1:28">
      <c r="A21" s="47">
        <v>5.0999999999999996</v>
      </c>
      <c r="B21" s="47">
        <v>3.8</v>
      </c>
      <c r="C21" s="47">
        <v>1.5</v>
      </c>
      <c r="D21" s="47">
        <v>0.3</v>
      </c>
      <c r="E21" s="47" t="s">
        <v>5</v>
      </c>
      <c r="G21" s="55"/>
      <c r="H21" s="57"/>
      <c r="I21" s="57"/>
      <c r="J21" s="57"/>
      <c r="K21" s="57"/>
      <c r="M21" s="50"/>
      <c r="W21" s="49" t="b">
        <f t="shared" si="0"/>
        <v>1</v>
      </c>
      <c r="X21" s="49" t="b">
        <f t="shared" si="0"/>
        <v>1</v>
      </c>
      <c r="Y21" s="49" t="b">
        <f t="shared" si="0"/>
        <v>1</v>
      </c>
      <c r="Z21" s="49" t="b">
        <f t="shared" si="0"/>
        <v>1</v>
      </c>
    </row>
    <row r="22" spans="1:28">
      <c r="A22" s="47">
        <v>5.4</v>
      </c>
      <c r="B22" s="47">
        <v>3.4</v>
      </c>
      <c r="C22" s="47">
        <v>1.7</v>
      </c>
      <c r="D22" s="47">
        <v>0.2</v>
      </c>
      <c r="E22" s="47" t="s">
        <v>5</v>
      </c>
      <c r="G22" s="54" t="s">
        <v>114</v>
      </c>
      <c r="J22" s="45" t="s">
        <v>127</v>
      </c>
      <c r="W22" s="49" t="b">
        <f t="shared" si="0"/>
        <v>1</v>
      </c>
      <c r="X22" s="49" t="b">
        <f t="shared" si="0"/>
        <v>1</v>
      </c>
      <c r="Y22" s="49" t="b">
        <f t="shared" si="0"/>
        <v>1</v>
      </c>
      <c r="Z22" s="49" t="b">
        <f t="shared" si="0"/>
        <v>1</v>
      </c>
    </row>
    <row r="23" spans="1:28">
      <c r="A23" s="47">
        <v>5.0999999999999996</v>
      </c>
      <c r="B23" s="47">
        <v>3.7</v>
      </c>
      <c r="C23" s="47">
        <v>1.5</v>
      </c>
      <c r="D23" s="47">
        <v>0.4</v>
      </c>
      <c r="E23" s="47" t="s">
        <v>5</v>
      </c>
      <c r="G23" s="45" t="s">
        <v>71</v>
      </c>
      <c r="H23" s="58">
        <f>H15-1.5*H17</f>
        <v>3.1499999999999986</v>
      </c>
      <c r="I23" s="58">
        <f t="shared" ref="I23:K23" si="11">I15-1.5*I17</f>
        <v>2.0125000000000002</v>
      </c>
      <c r="J23" s="58">
        <f t="shared" si="11"/>
        <v>-3.7124999999999995</v>
      </c>
      <c r="K23" s="58">
        <f t="shared" si="11"/>
        <v>-1.95</v>
      </c>
      <c r="M23" s="50" t="s">
        <v>115</v>
      </c>
      <c r="W23" s="49" t="b">
        <f t="shared" si="0"/>
        <v>1</v>
      </c>
      <c r="X23" s="49" t="b">
        <f t="shared" si="0"/>
        <v>1</v>
      </c>
      <c r="Y23" s="49" t="b">
        <f t="shared" si="0"/>
        <v>1</v>
      </c>
      <c r="Z23" s="49" t="b">
        <f t="shared" si="0"/>
        <v>1</v>
      </c>
    </row>
    <row r="24" spans="1:28">
      <c r="A24" s="47">
        <v>4.5999999999999996</v>
      </c>
      <c r="B24" s="47">
        <v>3.6</v>
      </c>
      <c r="C24" s="47">
        <v>1</v>
      </c>
      <c r="D24" s="47">
        <v>0.2</v>
      </c>
      <c r="E24" s="47" t="s">
        <v>5</v>
      </c>
      <c r="G24" s="45" t="s">
        <v>69</v>
      </c>
      <c r="H24" s="58">
        <f>H16+1.5*H17</f>
        <v>8.3500000000000014</v>
      </c>
      <c r="I24" s="58">
        <f t="shared" ref="I24:K24" si="12">I16+1.5*I17</f>
        <v>4.1124999999999998</v>
      </c>
      <c r="J24" s="58">
        <f t="shared" si="12"/>
        <v>10.387499999999999</v>
      </c>
      <c r="K24" s="58">
        <f t="shared" si="12"/>
        <v>4.05</v>
      </c>
      <c r="M24" s="50" t="s">
        <v>116</v>
      </c>
      <c r="W24" s="49" t="b">
        <f t="shared" si="0"/>
        <v>1</v>
      </c>
      <c r="X24" s="49" t="b">
        <f t="shared" si="0"/>
        <v>1</v>
      </c>
      <c r="Y24" s="49" t="b">
        <f t="shared" si="0"/>
        <v>1</v>
      </c>
      <c r="Z24" s="49" t="b">
        <f t="shared" si="0"/>
        <v>1</v>
      </c>
    </row>
    <row r="25" spans="1:28">
      <c r="A25" s="47">
        <v>5.0999999999999996</v>
      </c>
      <c r="B25" s="47">
        <v>3.3</v>
      </c>
      <c r="C25" s="47">
        <v>1.7</v>
      </c>
      <c r="D25" s="47">
        <v>0.5</v>
      </c>
      <c r="E25" s="47" t="s">
        <v>5</v>
      </c>
      <c r="H25" s="59"/>
      <c r="I25" s="59"/>
      <c r="J25" s="59"/>
      <c r="K25" s="59"/>
      <c r="M25" s="50"/>
      <c r="W25" s="49" t="b">
        <f t="shared" si="0"/>
        <v>1</v>
      </c>
      <c r="X25" s="49" t="b">
        <f t="shared" si="0"/>
        <v>1</v>
      </c>
      <c r="Y25" s="49" t="b">
        <f t="shared" si="0"/>
        <v>1</v>
      </c>
      <c r="Z25" s="49" t="b">
        <f t="shared" si="0"/>
        <v>1</v>
      </c>
    </row>
    <row r="26" spans="1:28">
      <c r="A26" s="47">
        <v>4.8</v>
      </c>
      <c r="B26" s="47">
        <v>3.4</v>
      </c>
      <c r="C26" s="47">
        <v>1.9</v>
      </c>
      <c r="D26" s="47">
        <v>0.2</v>
      </c>
      <c r="E26" s="47" t="s">
        <v>5</v>
      </c>
      <c r="H26" s="59"/>
      <c r="I26" s="59"/>
      <c r="J26" s="59"/>
      <c r="K26" s="59"/>
      <c r="M26" s="50"/>
      <c r="W26" s="49" t="b">
        <f t="shared" si="0"/>
        <v>1</v>
      </c>
      <c r="X26" s="49" t="b">
        <f t="shared" si="0"/>
        <v>1</v>
      </c>
      <c r="Y26" s="49" t="b">
        <f t="shared" si="0"/>
        <v>1</v>
      </c>
      <c r="Z26" s="49" t="b">
        <f t="shared" si="0"/>
        <v>1</v>
      </c>
    </row>
    <row r="27" spans="1:28">
      <c r="A27" s="47">
        <v>5</v>
      </c>
      <c r="B27" s="47">
        <v>3</v>
      </c>
      <c r="C27" s="47">
        <v>1.6</v>
      </c>
      <c r="D27" s="47">
        <v>0.2</v>
      </c>
      <c r="E27" s="47" t="s">
        <v>5</v>
      </c>
      <c r="H27" s="58"/>
      <c r="I27" s="58"/>
      <c r="J27" s="58"/>
      <c r="K27" s="58"/>
      <c r="M27" s="50"/>
      <c r="W27" s="49" t="b">
        <f t="shared" si="0"/>
        <v>1</v>
      </c>
      <c r="X27" s="49" t="b">
        <f t="shared" si="0"/>
        <v>1</v>
      </c>
      <c r="Y27" s="49" t="b">
        <f t="shared" si="0"/>
        <v>1</v>
      </c>
      <c r="Z27" s="49" t="b">
        <f t="shared" si="0"/>
        <v>1</v>
      </c>
    </row>
    <row r="28" spans="1:28">
      <c r="A28" s="47">
        <v>5</v>
      </c>
      <c r="B28" s="47">
        <v>3.4</v>
      </c>
      <c r="C28" s="47">
        <v>1.6</v>
      </c>
      <c r="D28" s="47">
        <v>0.4</v>
      </c>
      <c r="E28" s="47" t="s">
        <v>5</v>
      </c>
      <c r="W28" s="49" t="b">
        <f t="shared" si="0"/>
        <v>1</v>
      </c>
      <c r="X28" s="49" t="b">
        <f t="shared" si="0"/>
        <v>1</v>
      </c>
      <c r="Y28" s="49" t="b">
        <f t="shared" si="0"/>
        <v>1</v>
      </c>
      <c r="Z28" s="49" t="b">
        <f t="shared" si="0"/>
        <v>1</v>
      </c>
    </row>
    <row r="29" spans="1:28">
      <c r="A29" s="47">
        <v>5.2</v>
      </c>
      <c r="B29" s="47">
        <v>3.5</v>
      </c>
      <c r="C29" s="47">
        <v>1.5</v>
      </c>
      <c r="D29" s="47">
        <v>0.2</v>
      </c>
      <c r="E29" s="47" t="s">
        <v>5</v>
      </c>
      <c r="W29" s="49" t="b">
        <f t="shared" si="0"/>
        <v>1</v>
      </c>
      <c r="X29" s="49" t="b">
        <f t="shared" si="0"/>
        <v>1</v>
      </c>
      <c r="Y29" s="49" t="b">
        <f t="shared" si="0"/>
        <v>1</v>
      </c>
      <c r="Z29" s="49" t="b">
        <f t="shared" si="0"/>
        <v>1</v>
      </c>
    </row>
    <row r="30" spans="1:28" ht="20.399999999999999" thickBot="1">
      <c r="A30" s="47">
        <v>5.2</v>
      </c>
      <c r="B30" s="47">
        <v>3.4</v>
      </c>
      <c r="C30" s="47">
        <v>1.4</v>
      </c>
      <c r="D30" s="47">
        <v>0.2</v>
      </c>
      <c r="E30" s="47" t="s">
        <v>5</v>
      </c>
      <c r="G30" s="3" t="s">
        <v>117</v>
      </c>
      <c r="W30" s="49" t="b">
        <f t="shared" si="0"/>
        <v>1</v>
      </c>
      <c r="X30" s="49" t="b">
        <f t="shared" si="0"/>
        <v>1</v>
      </c>
      <c r="Y30" s="49" t="b">
        <f t="shared" si="0"/>
        <v>1</v>
      </c>
      <c r="Z30" s="49" t="b">
        <f t="shared" si="0"/>
        <v>1</v>
      </c>
    </row>
    <row r="31" spans="1:28" ht="16.2" thickTop="1">
      <c r="A31" s="47">
        <v>4.7</v>
      </c>
      <c r="B31" s="47">
        <v>3.2</v>
      </c>
      <c r="C31" s="47">
        <v>1.6</v>
      </c>
      <c r="D31" s="47">
        <v>0.2</v>
      </c>
      <c r="E31" s="47" t="s">
        <v>5</v>
      </c>
      <c r="W31" s="49" t="b">
        <f t="shared" si="0"/>
        <v>1</v>
      </c>
      <c r="X31" s="49" t="b">
        <f t="shared" si="0"/>
        <v>1</v>
      </c>
      <c r="Y31" s="49" t="b">
        <f t="shared" si="0"/>
        <v>1</v>
      </c>
      <c r="Z31" s="49" t="b">
        <f t="shared" si="0"/>
        <v>1</v>
      </c>
    </row>
    <row r="32" spans="1:28">
      <c r="A32" s="47">
        <v>4.8</v>
      </c>
      <c r="B32" s="47">
        <v>3.1</v>
      </c>
      <c r="C32" s="47">
        <v>1.6</v>
      </c>
      <c r="D32" s="47">
        <v>0.2</v>
      </c>
      <c r="E32" s="47" t="s">
        <v>5</v>
      </c>
      <c r="W32" s="49" t="b">
        <f t="shared" si="0"/>
        <v>1</v>
      </c>
      <c r="X32" s="49" t="b">
        <f t="shared" si="0"/>
        <v>1</v>
      </c>
      <c r="Y32" s="49" t="b">
        <f t="shared" si="0"/>
        <v>1</v>
      </c>
      <c r="Z32" s="49" t="b">
        <f t="shared" si="0"/>
        <v>1</v>
      </c>
    </row>
    <row r="33" spans="1:26">
      <c r="A33" s="47">
        <v>5.4</v>
      </c>
      <c r="B33" s="47">
        <v>3.4</v>
      </c>
      <c r="C33" s="47">
        <v>1.5</v>
      </c>
      <c r="D33" s="47">
        <v>0.4</v>
      </c>
      <c r="E33" s="47" t="s">
        <v>5</v>
      </c>
      <c r="G33" s="61"/>
      <c r="H33" s="61"/>
      <c r="I33" s="61"/>
      <c r="J33" s="61"/>
      <c r="K33" s="61"/>
      <c r="L33" s="61"/>
      <c r="M33" s="61"/>
      <c r="W33" s="49" t="b">
        <f t="shared" si="0"/>
        <v>1</v>
      </c>
      <c r="X33" s="49" t="b">
        <f t="shared" si="0"/>
        <v>1</v>
      </c>
      <c r="Y33" s="49" t="b">
        <f t="shared" si="0"/>
        <v>1</v>
      </c>
      <c r="Z33" s="49" t="b">
        <f t="shared" si="0"/>
        <v>1</v>
      </c>
    </row>
    <row r="34" spans="1:26">
      <c r="A34" s="47">
        <v>5.2</v>
      </c>
      <c r="B34" s="47">
        <v>4.0999999999999996</v>
      </c>
      <c r="C34" s="47">
        <v>1.5</v>
      </c>
      <c r="D34" s="47">
        <v>0.1</v>
      </c>
      <c r="E34" s="47" t="s">
        <v>5</v>
      </c>
      <c r="G34" s="61"/>
      <c r="H34" s="61"/>
      <c r="I34" s="61"/>
      <c r="J34" s="61"/>
      <c r="K34" s="61"/>
      <c r="L34" s="61"/>
      <c r="M34" s="61"/>
      <c r="W34" s="49" t="b">
        <f t="shared" ref="W34:Z65" si="13">AND(A34&gt;H$23, A34&lt;H$24)</f>
        <v>1</v>
      </c>
      <c r="X34" s="49" t="b">
        <f t="shared" si="13"/>
        <v>1</v>
      </c>
      <c r="Y34" s="49" t="b">
        <f t="shared" si="13"/>
        <v>1</v>
      </c>
      <c r="Z34" s="49" t="b">
        <f t="shared" si="13"/>
        <v>1</v>
      </c>
    </row>
    <row r="35" spans="1:26">
      <c r="A35" s="47">
        <v>5.5</v>
      </c>
      <c r="B35" s="47">
        <v>4.2</v>
      </c>
      <c r="C35" s="47">
        <v>1.4</v>
      </c>
      <c r="D35" s="47">
        <v>0.2</v>
      </c>
      <c r="E35" s="47" t="s">
        <v>5</v>
      </c>
      <c r="G35" s="61"/>
      <c r="H35" s="61"/>
      <c r="I35" s="61"/>
      <c r="J35" s="61"/>
      <c r="K35" s="61"/>
      <c r="L35" s="61"/>
      <c r="M35" s="61"/>
      <c r="W35" s="49" t="b">
        <f t="shared" si="13"/>
        <v>1</v>
      </c>
      <c r="X35" s="49" t="b">
        <f t="shared" si="13"/>
        <v>0</v>
      </c>
      <c r="Y35" s="49" t="b">
        <f t="shared" si="13"/>
        <v>1</v>
      </c>
      <c r="Z35" s="49" t="b">
        <f t="shared" si="13"/>
        <v>1</v>
      </c>
    </row>
    <row r="36" spans="1:26">
      <c r="A36" s="47">
        <v>4.9000000000000004</v>
      </c>
      <c r="B36" s="47">
        <v>3.1</v>
      </c>
      <c r="C36" s="47">
        <v>1.5</v>
      </c>
      <c r="D36" s="47">
        <v>0.2</v>
      </c>
      <c r="E36" s="47" t="s">
        <v>5</v>
      </c>
      <c r="G36" s="61"/>
      <c r="H36" s="61"/>
      <c r="I36" s="61"/>
      <c r="J36" s="61"/>
      <c r="K36" s="61"/>
      <c r="L36" s="61"/>
      <c r="M36" s="61"/>
      <c r="W36" s="49" t="b">
        <f t="shared" si="13"/>
        <v>1</v>
      </c>
      <c r="X36" s="49" t="b">
        <f t="shared" si="13"/>
        <v>1</v>
      </c>
      <c r="Y36" s="49" t="b">
        <f t="shared" si="13"/>
        <v>1</v>
      </c>
      <c r="Z36" s="49" t="b">
        <f t="shared" si="13"/>
        <v>1</v>
      </c>
    </row>
    <row r="37" spans="1:26">
      <c r="A37" s="47">
        <v>5</v>
      </c>
      <c r="B37" s="47">
        <v>3.2</v>
      </c>
      <c r="C37" s="47">
        <v>1.2</v>
      </c>
      <c r="D37" s="47">
        <v>0.2</v>
      </c>
      <c r="E37" s="47" t="s">
        <v>5</v>
      </c>
      <c r="G37" s="61"/>
      <c r="H37" s="61"/>
      <c r="I37" s="61"/>
      <c r="J37" s="61"/>
      <c r="K37" s="61"/>
      <c r="L37" s="61"/>
      <c r="M37" s="61"/>
      <c r="W37" s="49" t="b">
        <f t="shared" si="13"/>
        <v>1</v>
      </c>
      <c r="X37" s="49" t="b">
        <f t="shared" si="13"/>
        <v>1</v>
      </c>
      <c r="Y37" s="49" t="b">
        <f t="shared" si="13"/>
        <v>1</v>
      </c>
      <c r="Z37" s="49" t="b">
        <f t="shared" si="13"/>
        <v>1</v>
      </c>
    </row>
    <row r="38" spans="1:26">
      <c r="A38" s="47">
        <v>5.5</v>
      </c>
      <c r="B38" s="47">
        <v>3.5</v>
      </c>
      <c r="C38" s="47">
        <v>1.3</v>
      </c>
      <c r="D38" s="47">
        <v>0.2</v>
      </c>
      <c r="E38" s="47" t="s">
        <v>5</v>
      </c>
      <c r="G38" s="61"/>
      <c r="H38" s="61"/>
      <c r="I38" s="61"/>
      <c r="J38" s="61"/>
      <c r="K38" s="61"/>
      <c r="L38" s="61"/>
      <c r="M38" s="61"/>
      <c r="W38" s="49" t="b">
        <f t="shared" si="13"/>
        <v>1</v>
      </c>
      <c r="X38" s="49" t="b">
        <f t="shared" si="13"/>
        <v>1</v>
      </c>
      <c r="Y38" s="49" t="b">
        <f t="shared" si="13"/>
        <v>1</v>
      </c>
      <c r="Z38" s="49" t="b">
        <f t="shared" si="13"/>
        <v>1</v>
      </c>
    </row>
    <row r="39" spans="1:26">
      <c r="A39" s="47">
        <v>4.9000000000000004</v>
      </c>
      <c r="B39" s="47">
        <v>3.6</v>
      </c>
      <c r="C39" s="47">
        <v>1.4</v>
      </c>
      <c r="D39" s="47">
        <v>0.1</v>
      </c>
      <c r="E39" s="47" t="s">
        <v>5</v>
      </c>
      <c r="G39" s="61"/>
      <c r="H39" s="61"/>
      <c r="I39" s="61"/>
      <c r="J39" s="61"/>
      <c r="K39" s="61"/>
      <c r="L39" s="61"/>
      <c r="M39" s="61"/>
      <c r="W39" s="49" t="b">
        <f t="shared" si="13"/>
        <v>1</v>
      </c>
      <c r="X39" s="49" t="b">
        <f t="shared" si="13"/>
        <v>1</v>
      </c>
      <c r="Y39" s="49" t="b">
        <f t="shared" si="13"/>
        <v>1</v>
      </c>
      <c r="Z39" s="49" t="b">
        <f t="shared" si="13"/>
        <v>1</v>
      </c>
    </row>
    <row r="40" spans="1:26">
      <c r="A40" s="47">
        <v>4.4000000000000004</v>
      </c>
      <c r="B40" s="47">
        <v>3</v>
      </c>
      <c r="C40" s="47">
        <v>1.3</v>
      </c>
      <c r="D40" s="47">
        <v>0.2</v>
      </c>
      <c r="E40" s="47" t="s">
        <v>5</v>
      </c>
      <c r="G40" s="61"/>
      <c r="H40" s="61"/>
      <c r="I40" s="61"/>
      <c r="J40" s="61"/>
      <c r="K40" s="61"/>
      <c r="L40" s="61"/>
      <c r="M40" s="61"/>
      <c r="W40" s="49" t="b">
        <f t="shared" si="13"/>
        <v>1</v>
      </c>
      <c r="X40" s="49" t="b">
        <f t="shared" si="13"/>
        <v>1</v>
      </c>
      <c r="Y40" s="49" t="b">
        <f t="shared" si="13"/>
        <v>1</v>
      </c>
      <c r="Z40" s="49" t="b">
        <f t="shared" si="13"/>
        <v>1</v>
      </c>
    </row>
    <row r="41" spans="1:26">
      <c r="A41" s="47">
        <v>5.0999999999999996</v>
      </c>
      <c r="B41" s="47">
        <v>3.4</v>
      </c>
      <c r="C41" s="47">
        <v>1.5</v>
      </c>
      <c r="D41" s="47">
        <v>0.2</v>
      </c>
      <c r="E41" s="47" t="s">
        <v>5</v>
      </c>
      <c r="G41" s="61"/>
      <c r="H41" s="61"/>
      <c r="I41" s="61"/>
      <c r="J41" s="61"/>
      <c r="K41" s="61"/>
      <c r="L41" s="61"/>
      <c r="M41" s="61"/>
      <c r="W41" s="49" t="b">
        <f t="shared" si="13"/>
        <v>1</v>
      </c>
      <c r="X41" s="49" t="b">
        <f t="shared" si="13"/>
        <v>1</v>
      </c>
      <c r="Y41" s="49" t="b">
        <f t="shared" si="13"/>
        <v>1</v>
      </c>
      <c r="Z41" s="49" t="b">
        <f t="shared" si="13"/>
        <v>1</v>
      </c>
    </row>
    <row r="42" spans="1:26">
      <c r="A42" s="47">
        <v>5</v>
      </c>
      <c r="B42" s="47">
        <v>3.5</v>
      </c>
      <c r="C42" s="47">
        <v>1.3</v>
      </c>
      <c r="D42" s="47">
        <v>0.3</v>
      </c>
      <c r="E42" s="47" t="s">
        <v>5</v>
      </c>
      <c r="G42" s="61"/>
      <c r="H42" s="61"/>
      <c r="I42" s="61"/>
      <c r="J42" s="61"/>
      <c r="K42" s="61"/>
      <c r="L42" s="61"/>
      <c r="M42" s="61"/>
      <c r="W42" s="49" t="b">
        <f t="shared" si="13"/>
        <v>1</v>
      </c>
      <c r="X42" s="49" t="b">
        <f t="shared" si="13"/>
        <v>1</v>
      </c>
      <c r="Y42" s="49" t="b">
        <f t="shared" si="13"/>
        <v>1</v>
      </c>
      <c r="Z42" s="49" t="b">
        <f t="shared" si="13"/>
        <v>1</v>
      </c>
    </row>
    <row r="43" spans="1:26">
      <c r="A43" s="47">
        <v>4.5</v>
      </c>
      <c r="B43" s="47">
        <v>2.2999999999999998</v>
      </c>
      <c r="C43" s="47">
        <v>1.3</v>
      </c>
      <c r="D43" s="47">
        <v>0.3</v>
      </c>
      <c r="E43" s="47" t="s">
        <v>5</v>
      </c>
      <c r="G43" s="61"/>
      <c r="H43" s="61"/>
      <c r="I43" s="61"/>
      <c r="J43" s="61"/>
      <c r="K43" s="61"/>
      <c r="L43" s="61"/>
      <c r="M43" s="61"/>
      <c r="W43" s="49" t="b">
        <f t="shared" si="13"/>
        <v>1</v>
      </c>
      <c r="X43" s="49" t="b">
        <f t="shared" si="13"/>
        <v>1</v>
      </c>
      <c r="Y43" s="49" t="b">
        <f t="shared" si="13"/>
        <v>1</v>
      </c>
      <c r="Z43" s="49" t="b">
        <f t="shared" si="13"/>
        <v>1</v>
      </c>
    </row>
    <row r="44" spans="1:26">
      <c r="A44" s="47">
        <v>4.4000000000000004</v>
      </c>
      <c r="B44" s="47">
        <v>3.2</v>
      </c>
      <c r="C44" s="47">
        <v>1.3</v>
      </c>
      <c r="D44" s="47">
        <v>0.2</v>
      </c>
      <c r="E44" s="47" t="s">
        <v>5</v>
      </c>
      <c r="G44" s="61"/>
      <c r="H44" s="61"/>
      <c r="I44" s="61"/>
      <c r="J44" s="61"/>
      <c r="K44" s="61"/>
      <c r="L44" s="61"/>
      <c r="M44" s="61"/>
      <c r="W44" s="49" t="b">
        <f t="shared" si="13"/>
        <v>1</v>
      </c>
      <c r="X44" s="49" t="b">
        <f t="shared" si="13"/>
        <v>1</v>
      </c>
      <c r="Y44" s="49" t="b">
        <f t="shared" si="13"/>
        <v>1</v>
      </c>
      <c r="Z44" s="49" t="b">
        <f t="shared" si="13"/>
        <v>1</v>
      </c>
    </row>
    <row r="45" spans="1:26">
      <c r="A45" s="47">
        <v>5</v>
      </c>
      <c r="B45" s="47">
        <v>3.5</v>
      </c>
      <c r="C45" s="47">
        <v>1.6</v>
      </c>
      <c r="D45" s="47">
        <v>0.6</v>
      </c>
      <c r="E45" s="47" t="s">
        <v>5</v>
      </c>
      <c r="G45" s="61"/>
      <c r="H45" s="61"/>
      <c r="I45" s="61"/>
      <c r="J45" s="61"/>
      <c r="K45" s="61"/>
      <c r="L45" s="61"/>
      <c r="M45" s="61"/>
      <c r="W45" s="49" t="b">
        <f t="shared" si="13"/>
        <v>1</v>
      </c>
      <c r="X45" s="49" t="b">
        <f t="shared" si="13"/>
        <v>1</v>
      </c>
      <c r="Y45" s="49" t="b">
        <f t="shared" si="13"/>
        <v>1</v>
      </c>
      <c r="Z45" s="49" t="b">
        <f t="shared" si="13"/>
        <v>1</v>
      </c>
    </row>
    <row r="46" spans="1:26">
      <c r="A46" s="47">
        <v>5.0999999999999996</v>
      </c>
      <c r="B46" s="47">
        <v>3.8</v>
      </c>
      <c r="C46" s="47">
        <v>1.9</v>
      </c>
      <c r="D46" s="47">
        <v>0.4</v>
      </c>
      <c r="E46" s="47" t="s">
        <v>5</v>
      </c>
      <c r="G46" s="61"/>
      <c r="H46" s="61"/>
      <c r="I46" s="61"/>
      <c r="J46" s="61"/>
      <c r="K46" s="61"/>
      <c r="L46" s="61"/>
      <c r="M46" s="61"/>
      <c r="W46" s="49" t="b">
        <f t="shared" si="13"/>
        <v>1</v>
      </c>
      <c r="X46" s="49" t="b">
        <f t="shared" si="13"/>
        <v>1</v>
      </c>
      <c r="Y46" s="49" t="b">
        <f t="shared" si="13"/>
        <v>1</v>
      </c>
      <c r="Z46" s="49" t="b">
        <f t="shared" si="13"/>
        <v>1</v>
      </c>
    </row>
    <row r="47" spans="1:26">
      <c r="A47" s="47">
        <v>4.8</v>
      </c>
      <c r="B47" s="47">
        <v>3</v>
      </c>
      <c r="C47" s="47">
        <v>1.4</v>
      </c>
      <c r="D47" s="47">
        <v>0.3</v>
      </c>
      <c r="E47" s="47" t="s">
        <v>5</v>
      </c>
      <c r="W47" s="49" t="b">
        <f t="shared" si="13"/>
        <v>1</v>
      </c>
      <c r="X47" s="49" t="b">
        <f t="shared" si="13"/>
        <v>1</v>
      </c>
      <c r="Y47" s="49" t="b">
        <f t="shared" si="13"/>
        <v>1</v>
      </c>
      <c r="Z47" s="49" t="b">
        <f t="shared" si="13"/>
        <v>1</v>
      </c>
    </row>
    <row r="48" spans="1:26">
      <c r="A48" s="47">
        <v>5.0999999999999996</v>
      </c>
      <c r="B48" s="47">
        <v>3.8</v>
      </c>
      <c r="C48" s="47">
        <v>1.6</v>
      </c>
      <c r="D48" s="47">
        <v>0.2</v>
      </c>
      <c r="E48" s="47" t="s">
        <v>5</v>
      </c>
      <c r="G48" s="75" t="s">
        <v>126</v>
      </c>
      <c r="W48" s="49" t="b">
        <f t="shared" si="13"/>
        <v>1</v>
      </c>
      <c r="X48" s="49" t="b">
        <f t="shared" si="13"/>
        <v>1</v>
      </c>
      <c r="Y48" s="49" t="b">
        <f t="shared" si="13"/>
        <v>1</v>
      </c>
      <c r="Z48" s="49" t="b">
        <f t="shared" si="13"/>
        <v>1</v>
      </c>
    </row>
    <row r="49" spans="1:26">
      <c r="A49" s="47">
        <v>4.5999999999999996</v>
      </c>
      <c r="B49" s="47">
        <v>3.2</v>
      </c>
      <c r="C49" s="47">
        <v>1.4</v>
      </c>
      <c r="D49" s="47">
        <v>0.2</v>
      </c>
      <c r="E49" s="47" t="s">
        <v>5</v>
      </c>
      <c r="W49" s="49" t="b">
        <f t="shared" si="13"/>
        <v>1</v>
      </c>
      <c r="X49" s="49" t="b">
        <f t="shared" si="13"/>
        <v>1</v>
      </c>
      <c r="Y49" s="49" t="b">
        <f t="shared" si="13"/>
        <v>1</v>
      </c>
      <c r="Z49" s="49" t="b">
        <f t="shared" si="13"/>
        <v>1</v>
      </c>
    </row>
    <row r="50" spans="1:26" ht="20.399999999999999" thickBot="1">
      <c r="A50" s="47">
        <v>5.3</v>
      </c>
      <c r="B50" s="47">
        <v>3.7</v>
      </c>
      <c r="C50" s="47">
        <v>1.5</v>
      </c>
      <c r="D50" s="47">
        <v>0.2</v>
      </c>
      <c r="E50" s="47" t="s">
        <v>5</v>
      </c>
      <c r="G50" s="3" t="s">
        <v>118</v>
      </c>
      <c r="W50" s="49" t="b">
        <f t="shared" si="13"/>
        <v>1</v>
      </c>
      <c r="X50" s="49" t="b">
        <f t="shared" si="13"/>
        <v>1</v>
      </c>
      <c r="Y50" s="49" t="b">
        <f t="shared" si="13"/>
        <v>1</v>
      </c>
      <c r="Z50" s="49" t="b">
        <f t="shared" si="13"/>
        <v>1</v>
      </c>
    </row>
    <row r="51" spans="1:26" ht="16.2" thickTop="1">
      <c r="A51" s="47">
        <v>5</v>
      </c>
      <c r="B51" s="47">
        <v>3.3</v>
      </c>
      <c r="C51" s="47">
        <v>1.4</v>
      </c>
      <c r="D51" s="47">
        <v>0.2</v>
      </c>
      <c r="E51" s="47" t="s">
        <v>5</v>
      </c>
      <c r="W51" s="49" t="b">
        <f t="shared" si="13"/>
        <v>1</v>
      </c>
      <c r="X51" s="49" t="b">
        <f t="shared" si="13"/>
        <v>1</v>
      </c>
      <c r="Y51" s="49" t="b">
        <f t="shared" si="13"/>
        <v>1</v>
      </c>
      <c r="Z51" s="49" t="b">
        <f t="shared" si="13"/>
        <v>1</v>
      </c>
    </row>
    <row r="52" spans="1:26">
      <c r="A52" s="47">
        <v>7</v>
      </c>
      <c r="B52" s="47">
        <v>3.2</v>
      </c>
      <c r="C52" s="47">
        <v>4.7</v>
      </c>
      <c r="D52" s="47">
        <v>1.4</v>
      </c>
      <c r="E52" s="47" t="s">
        <v>11</v>
      </c>
      <c r="G52" s="61"/>
      <c r="H52" s="61"/>
      <c r="I52" s="61"/>
      <c r="J52" s="61"/>
      <c r="K52" s="61"/>
      <c r="L52" s="61"/>
      <c r="M52" s="61"/>
      <c r="N52" s="61"/>
      <c r="W52" s="49" t="b">
        <f t="shared" si="13"/>
        <v>1</v>
      </c>
      <c r="X52" s="49" t="b">
        <f t="shared" si="13"/>
        <v>1</v>
      </c>
      <c r="Y52" s="49" t="b">
        <f t="shared" si="13"/>
        <v>1</v>
      </c>
      <c r="Z52" s="49" t="b">
        <f t="shared" si="13"/>
        <v>1</v>
      </c>
    </row>
    <row r="53" spans="1:26">
      <c r="A53" s="47">
        <v>6.4</v>
      </c>
      <c r="B53" s="47">
        <v>3.2</v>
      </c>
      <c r="C53" s="47">
        <v>4.5</v>
      </c>
      <c r="D53" s="47">
        <v>1.5</v>
      </c>
      <c r="E53" s="47" t="s">
        <v>11</v>
      </c>
      <c r="G53" s="61"/>
      <c r="H53" s="61"/>
      <c r="I53" s="61"/>
      <c r="J53" s="61"/>
      <c r="K53" s="61"/>
      <c r="L53" s="61"/>
      <c r="M53" s="61"/>
      <c r="N53" s="61"/>
      <c r="W53" s="49" t="b">
        <f t="shared" si="13"/>
        <v>1</v>
      </c>
      <c r="X53" s="49" t="b">
        <f t="shared" si="13"/>
        <v>1</v>
      </c>
      <c r="Y53" s="49" t="b">
        <f t="shared" si="13"/>
        <v>1</v>
      </c>
      <c r="Z53" s="49" t="b">
        <f t="shared" si="13"/>
        <v>1</v>
      </c>
    </row>
    <row r="54" spans="1:26">
      <c r="A54" s="47">
        <v>6.9</v>
      </c>
      <c r="B54" s="47">
        <v>3.1</v>
      </c>
      <c r="C54" s="47">
        <v>4.9000000000000004</v>
      </c>
      <c r="D54" s="47">
        <v>1.5</v>
      </c>
      <c r="E54" s="47" t="s">
        <v>11</v>
      </c>
      <c r="G54" s="61"/>
      <c r="H54" s="61"/>
      <c r="I54" s="61"/>
      <c r="J54" s="61"/>
      <c r="K54" s="61"/>
      <c r="L54" s="61"/>
      <c r="M54" s="61"/>
      <c r="N54" s="61"/>
      <c r="W54" s="49" t="b">
        <f t="shared" si="13"/>
        <v>1</v>
      </c>
      <c r="X54" s="49" t="b">
        <f t="shared" si="13"/>
        <v>1</v>
      </c>
      <c r="Y54" s="49" t="b">
        <f t="shared" si="13"/>
        <v>1</v>
      </c>
      <c r="Z54" s="49" t="b">
        <f t="shared" si="13"/>
        <v>1</v>
      </c>
    </row>
    <row r="55" spans="1:26">
      <c r="A55" s="47">
        <v>5.5</v>
      </c>
      <c r="B55" s="47">
        <v>2.2999999999999998</v>
      </c>
      <c r="C55" s="47">
        <v>4</v>
      </c>
      <c r="D55" s="47">
        <v>1.3</v>
      </c>
      <c r="E55" s="47" t="s">
        <v>11</v>
      </c>
      <c r="G55" s="61"/>
      <c r="H55" s="61"/>
      <c r="I55" s="61"/>
      <c r="J55" s="61"/>
      <c r="K55" s="61"/>
      <c r="L55" s="61"/>
      <c r="M55" s="61"/>
      <c r="N55" s="61"/>
      <c r="W55" s="49" t="b">
        <f t="shared" si="13"/>
        <v>1</v>
      </c>
      <c r="X55" s="49" t="b">
        <f t="shared" si="13"/>
        <v>1</v>
      </c>
      <c r="Y55" s="49" t="b">
        <f t="shared" si="13"/>
        <v>1</v>
      </c>
      <c r="Z55" s="49" t="b">
        <f t="shared" si="13"/>
        <v>1</v>
      </c>
    </row>
    <row r="56" spans="1:26">
      <c r="A56" s="47">
        <v>6.5</v>
      </c>
      <c r="B56" s="47">
        <v>2.8</v>
      </c>
      <c r="C56" s="47">
        <v>4.5999999999999996</v>
      </c>
      <c r="D56" s="47">
        <v>1.5</v>
      </c>
      <c r="E56" s="47" t="s">
        <v>11</v>
      </c>
      <c r="G56" s="61"/>
      <c r="H56" s="61"/>
      <c r="I56" s="61"/>
      <c r="J56" s="61"/>
      <c r="K56" s="61"/>
      <c r="L56" s="61"/>
      <c r="M56" s="61"/>
      <c r="N56" s="61"/>
      <c r="W56" s="49" t="b">
        <f t="shared" si="13"/>
        <v>1</v>
      </c>
      <c r="X56" s="49" t="b">
        <f t="shared" si="13"/>
        <v>1</v>
      </c>
      <c r="Y56" s="49" t="b">
        <f t="shared" si="13"/>
        <v>1</v>
      </c>
      <c r="Z56" s="49" t="b">
        <f t="shared" si="13"/>
        <v>1</v>
      </c>
    </row>
    <row r="57" spans="1:26">
      <c r="A57" s="47">
        <v>5.7</v>
      </c>
      <c r="B57" s="47">
        <v>2.8</v>
      </c>
      <c r="C57" s="47">
        <v>4.5</v>
      </c>
      <c r="D57" s="47">
        <v>1.3</v>
      </c>
      <c r="E57" s="47" t="s">
        <v>11</v>
      </c>
      <c r="G57" s="61"/>
      <c r="H57" s="61"/>
      <c r="I57" s="61"/>
      <c r="J57" s="61"/>
      <c r="K57" s="61"/>
      <c r="L57" s="61"/>
      <c r="M57" s="61"/>
      <c r="N57" s="61"/>
      <c r="W57" s="49" t="b">
        <f t="shared" si="13"/>
        <v>1</v>
      </c>
      <c r="X57" s="49" t="b">
        <f t="shared" si="13"/>
        <v>1</v>
      </c>
      <c r="Y57" s="49" t="b">
        <f t="shared" si="13"/>
        <v>1</v>
      </c>
      <c r="Z57" s="49" t="b">
        <f t="shared" si="13"/>
        <v>1</v>
      </c>
    </row>
    <row r="58" spans="1:26">
      <c r="A58" s="47">
        <v>6.3</v>
      </c>
      <c r="B58" s="47">
        <v>3.3</v>
      </c>
      <c r="C58" s="47">
        <v>4.7</v>
      </c>
      <c r="D58" s="47">
        <v>1.6</v>
      </c>
      <c r="E58" s="47" t="s">
        <v>11</v>
      </c>
      <c r="G58" s="61"/>
      <c r="H58" s="61"/>
      <c r="I58" s="61"/>
      <c r="J58" s="61"/>
      <c r="K58" s="61"/>
      <c r="L58" s="61"/>
      <c r="M58" s="61"/>
      <c r="N58" s="61"/>
      <c r="W58" s="49" t="b">
        <f t="shared" si="13"/>
        <v>1</v>
      </c>
      <c r="X58" s="49" t="b">
        <f t="shared" si="13"/>
        <v>1</v>
      </c>
      <c r="Y58" s="49" t="b">
        <f t="shared" si="13"/>
        <v>1</v>
      </c>
      <c r="Z58" s="49" t="b">
        <f t="shared" si="13"/>
        <v>1</v>
      </c>
    </row>
    <row r="59" spans="1:26">
      <c r="A59" s="47">
        <v>4.9000000000000004</v>
      </c>
      <c r="B59" s="47">
        <v>2.4</v>
      </c>
      <c r="C59" s="47">
        <v>3.3</v>
      </c>
      <c r="D59" s="47">
        <v>1</v>
      </c>
      <c r="E59" s="47" t="s">
        <v>11</v>
      </c>
      <c r="G59" s="61"/>
      <c r="H59" s="61"/>
      <c r="I59" s="61"/>
      <c r="J59" s="61"/>
      <c r="K59" s="61"/>
      <c r="L59" s="61"/>
      <c r="M59" s="61"/>
      <c r="N59" s="61"/>
      <c r="W59" s="49" t="b">
        <f t="shared" si="13"/>
        <v>1</v>
      </c>
      <c r="X59" s="49" t="b">
        <f t="shared" si="13"/>
        <v>1</v>
      </c>
      <c r="Y59" s="49" t="b">
        <f t="shared" si="13"/>
        <v>1</v>
      </c>
      <c r="Z59" s="49" t="b">
        <f t="shared" si="13"/>
        <v>1</v>
      </c>
    </row>
    <row r="60" spans="1:26">
      <c r="A60" s="47">
        <v>6.6</v>
      </c>
      <c r="B60" s="47">
        <v>2.9</v>
      </c>
      <c r="C60" s="47">
        <v>4.5999999999999996</v>
      </c>
      <c r="D60" s="47">
        <v>1.3</v>
      </c>
      <c r="E60" s="47" t="s">
        <v>11</v>
      </c>
      <c r="G60" s="61"/>
      <c r="H60" s="61"/>
      <c r="I60" s="61"/>
      <c r="J60" s="61"/>
      <c r="K60" s="61"/>
      <c r="L60" s="61"/>
      <c r="M60" s="61"/>
      <c r="N60" s="61"/>
      <c r="W60" s="49" t="b">
        <f t="shared" si="13"/>
        <v>1</v>
      </c>
      <c r="X60" s="49" t="b">
        <f t="shared" si="13"/>
        <v>1</v>
      </c>
      <c r="Y60" s="49" t="b">
        <f t="shared" si="13"/>
        <v>1</v>
      </c>
      <c r="Z60" s="49" t="b">
        <f t="shared" si="13"/>
        <v>1</v>
      </c>
    </row>
    <row r="61" spans="1:26">
      <c r="A61" s="47">
        <v>5.2</v>
      </c>
      <c r="B61" s="47">
        <v>2.7</v>
      </c>
      <c r="C61" s="47">
        <v>3.9</v>
      </c>
      <c r="D61" s="47">
        <v>1.4</v>
      </c>
      <c r="E61" s="47" t="s">
        <v>11</v>
      </c>
      <c r="G61" s="61"/>
      <c r="H61" s="61"/>
      <c r="I61" s="61"/>
      <c r="J61" s="61"/>
      <c r="K61" s="61"/>
      <c r="L61" s="61"/>
      <c r="M61" s="61"/>
      <c r="N61" s="61"/>
      <c r="W61" s="49" t="b">
        <f t="shared" si="13"/>
        <v>1</v>
      </c>
      <c r="X61" s="49" t="b">
        <f t="shared" si="13"/>
        <v>1</v>
      </c>
      <c r="Y61" s="49" t="b">
        <f t="shared" si="13"/>
        <v>1</v>
      </c>
      <c r="Z61" s="49" t="b">
        <f t="shared" si="13"/>
        <v>1</v>
      </c>
    </row>
    <row r="62" spans="1:26">
      <c r="A62" s="47">
        <v>5</v>
      </c>
      <c r="B62" s="47">
        <v>2</v>
      </c>
      <c r="C62" s="47">
        <v>3.5</v>
      </c>
      <c r="D62" s="47">
        <v>1</v>
      </c>
      <c r="E62" s="47" t="s">
        <v>11</v>
      </c>
      <c r="G62" s="61"/>
      <c r="H62" s="61"/>
      <c r="I62" s="61"/>
      <c r="J62" s="61"/>
      <c r="K62" s="61"/>
      <c r="L62" s="61"/>
      <c r="M62" s="61"/>
      <c r="N62" s="61"/>
      <c r="W62" s="49" t="b">
        <f t="shared" si="13"/>
        <v>1</v>
      </c>
      <c r="X62" s="49" t="b">
        <f t="shared" si="13"/>
        <v>0</v>
      </c>
      <c r="Y62" s="49" t="b">
        <f t="shared" si="13"/>
        <v>1</v>
      </c>
      <c r="Z62" s="49" t="b">
        <f t="shared" si="13"/>
        <v>1</v>
      </c>
    </row>
    <row r="63" spans="1:26">
      <c r="A63" s="47">
        <v>5.9</v>
      </c>
      <c r="B63" s="47">
        <v>3</v>
      </c>
      <c r="C63" s="47">
        <v>4.2</v>
      </c>
      <c r="D63" s="47">
        <v>1.5</v>
      </c>
      <c r="E63" s="47" t="s">
        <v>11</v>
      </c>
      <c r="G63" s="61"/>
      <c r="H63" s="61"/>
      <c r="I63" s="61"/>
      <c r="J63" s="61"/>
      <c r="K63" s="61"/>
      <c r="L63" s="61"/>
      <c r="M63" s="61"/>
      <c r="N63" s="61"/>
      <c r="W63" s="49" t="b">
        <f t="shared" si="13"/>
        <v>1</v>
      </c>
      <c r="X63" s="49" t="b">
        <f t="shared" si="13"/>
        <v>1</v>
      </c>
      <c r="Y63" s="49" t="b">
        <f t="shared" si="13"/>
        <v>1</v>
      </c>
      <c r="Z63" s="49" t="b">
        <f t="shared" si="13"/>
        <v>1</v>
      </c>
    </row>
    <row r="64" spans="1:26">
      <c r="A64" s="47">
        <v>6</v>
      </c>
      <c r="B64" s="47">
        <v>2.2000000000000002</v>
      </c>
      <c r="C64" s="47">
        <v>4</v>
      </c>
      <c r="D64" s="47">
        <v>1</v>
      </c>
      <c r="E64" s="47" t="s">
        <v>11</v>
      </c>
      <c r="G64" s="61"/>
      <c r="H64" s="61"/>
      <c r="I64" s="61"/>
      <c r="J64" s="61"/>
      <c r="K64" s="61"/>
      <c r="L64" s="61"/>
      <c r="M64" s="61"/>
      <c r="N64" s="61"/>
      <c r="W64" s="49" t="b">
        <f t="shared" si="13"/>
        <v>1</v>
      </c>
      <c r="X64" s="49" t="b">
        <f t="shared" si="13"/>
        <v>1</v>
      </c>
      <c r="Y64" s="49" t="b">
        <f t="shared" si="13"/>
        <v>1</v>
      </c>
      <c r="Z64" s="49" t="b">
        <f t="shared" si="13"/>
        <v>1</v>
      </c>
    </row>
    <row r="65" spans="1:26">
      <c r="A65" s="47">
        <v>6.1</v>
      </c>
      <c r="B65" s="47">
        <v>2.9</v>
      </c>
      <c r="C65" s="47">
        <v>4.7</v>
      </c>
      <c r="D65" s="47">
        <v>1.4</v>
      </c>
      <c r="E65" s="47" t="s">
        <v>11</v>
      </c>
      <c r="G65" s="61"/>
      <c r="H65" s="61"/>
      <c r="I65" s="61"/>
      <c r="J65" s="61"/>
      <c r="K65" s="61"/>
      <c r="L65" s="61"/>
      <c r="M65" s="61"/>
      <c r="N65" s="61"/>
      <c r="W65" s="49" t="b">
        <f t="shared" si="13"/>
        <v>1</v>
      </c>
      <c r="X65" s="49" t="b">
        <f t="shared" si="13"/>
        <v>1</v>
      </c>
      <c r="Y65" s="49" t="b">
        <f t="shared" si="13"/>
        <v>1</v>
      </c>
      <c r="Z65" s="49" t="b">
        <f t="shared" si="13"/>
        <v>1</v>
      </c>
    </row>
    <row r="66" spans="1:26">
      <c r="A66" s="47">
        <v>5.6</v>
      </c>
      <c r="B66" s="47">
        <v>2.9</v>
      </c>
      <c r="C66" s="47">
        <v>3.6</v>
      </c>
      <c r="D66" s="47">
        <v>1.3</v>
      </c>
      <c r="E66" s="47" t="s">
        <v>11</v>
      </c>
      <c r="G66" s="61"/>
      <c r="H66" s="61"/>
      <c r="I66" s="61"/>
      <c r="J66" s="61"/>
      <c r="K66" s="61"/>
      <c r="L66" s="61"/>
      <c r="M66" s="61"/>
      <c r="N66" s="61"/>
      <c r="W66" s="49" t="b">
        <f t="shared" ref="W66:Z97" si="14">AND(A66&gt;H$23, A66&lt;H$24)</f>
        <v>1</v>
      </c>
      <c r="X66" s="49" t="b">
        <f t="shared" si="14"/>
        <v>1</v>
      </c>
      <c r="Y66" s="49" t="b">
        <f t="shared" si="14"/>
        <v>1</v>
      </c>
      <c r="Z66" s="49" t="b">
        <f t="shared" si="14"/>
        <v>1</v>
      </c>
    </row>
    <row r="67" spans="1:26">
      <c r="A67" s="47">
        <v>6.7</v>
      </c>
      <c r="B67" s="47">
        <v>3.1</v>
      </c>
      <c r="C67" s="47">
        <v>4.4000000000000004</v>
      </c>
      <c r="D67" s="47">
        <v>1.4</v>
      </c>
      <c r="E67" s="47" t="s">
        <v>11</v>
      </c>
      <c r="G67" s="61"/>
      <c r="H67" s="61"/>
      <c r="I67" s="61"/>
      <c r="J67" s="61"/>
      <c r="K67" s="61"/>
      <c r="L67" s="61"/>
      <c r="M67" s="61"/>
      <c r="N67" s="61"/>
      <c r="W67" s="49" t="b">
        <f t="shared" si="14"/>
        <v>1</v>
      </c>
      <c r="X67" s="49" t="b">
        <f t="shared" si="14"/>
        <v>1</v>
      </c>
      <c r="Y67" s="49" t="b">
        <f t="shared" si="14"/>
        <v>1</v>
      </c>
      <c r="Z67" s="49" t="b">
        <f t="shared" si="14"/>
        <v>1</v>
      </c>
    </row>
    <row r="68" spans="1:26">
      <c r="A68" s="47">
        <v>5.6</v>
      </c>
      <c r="B68" s="47">
        <v>3</v>
      </c>
      <c r="C68" s="47">
        <v>4.5</v>
      </c>
      <c r="D68" s="47">
        <v>1.5</v>
      </c>
      <c r="E68" s="47" t="s">
        <v>11</v>
      </c>
      <c r="G68" s="61"/>
      <c r="H68" s="61"/>
      <c r="I68" s="61"/>
      <c r="J68" s="61"/>
      <c r="K68" s="61"/>
      <c r="L68" s="61"/>
      <c r="M68" s="61"/>
      <c r="N68" s="61"/>
      <c r="W68" s="49" t="b">
        <f t="shared" si="14"/>
        <v>1</v>
      </c>
      <c r="X68" s="49" t="b">
        <f t="shared" si="14"/>
        <v>1</v>
      </c>
      <c r="Y68" s="49" t="b">
        <f t="shared" si="14"/>
        <v>1</v>
      </c>
      <c r="Z68" s="49" t="b">
        <f t="shared" si="14"/>
        <v>1</v>
      </c>
    </row>
    <row r="69" spans="1:26">
      <c r="A69" s="47">
        <v>5.8</v>
      </c>
      <c r="B69" s="47">
        <v>2.7</v>
      </c>
      <c r="C69" s="47">
        <v>4.0999999999999996</v>
      </c>
      <c r="D69" s="47">
        <v>1</v>
      </c>
      <c r="E69" s="47" t="s">
        <v>11</v>
      </c>
      <c r="G69" s="61"/>
      <c r="H69" s="61"/>
      <c r="I69" s="61"/>
      <c r="J69" s="61"/>
      <c r="K69" s="61"/>
      <c r="L69" s="61"/>
      <c r="M69" s="61"/>
      <c r="N69" s="61"/>
      <c r="W69" s="49" t="b">
        <f t="shared" si="14"/>
        <v>1</v>
      </c>
      <c r="X69" s="49" t="b">
        <f t="shared" si="14"/>
        <v>1</v>
      </c>
      <c r="Y69" s="49" t="b">
        <f t="shared" si="14"/>
        <v>1</v>
      </c>
      <c r="Z69" s="49" t="b">
        <f t="shared" si="14"/>
        <v>1</v>
      </c>
    </row>
    <row r="70" spans="1:26">
      <c r="A70" s="47">
        <v>6.2</v>
      </c>
      <c r="B70" s="47">
        <v>2.2000000000000002</v>
      </c>
      <c r="C70" s="47">
        <v>4.5</v>
      </c>
      <c r="D70" s="47">
        <v>1.5</v>
      </c>
      <c r="E70" s="47" t="s">
        <v>11</v>
      </c>
      <c r="G70" s="61"/>
      <c r="H70" s="61"/>
      <c r="I70" s="61"/>
      <c r="J70" s="61"/>
      <c r="K70" s="61"/>
      <c r="L70" s="61"/>
      <c r="M70" s="61"/>
      <c r="N70" s="61"/>
      <c r="W70" s="49" t="b">
        <f t="shared" si="14"/>
        <v>1</v>
      </c>
      <c r="X70" s="49" t="b">
        <f t="shared" si="14"/>
        <v>1</v>
      </c>
      <c r="Y70" s="49" t="b">
        <f t="shared" si="14"/>
        <v>1</v>
      </c>
      <c r="Z70" s="49" t="b">
        <f t="shared" si="14"/>
        <v>1</v>
      </c>
    </row>
    <row r="71" spans="1:26">
      <c r="A71" s="47">
        <v>5.6</v>
      </c>
      <c r="B71" s="47">
        <v>2.5</v>
      </c>
      <c r="C71" s="47">
        <v>3.9</v>
      </c>
      <c r="D71" s="47">
        <v>1.1000000000000001</v>
      </c>
      <c r="E71" s="47" t="s">
        <v>11</v>
      </c>
      <c r="G71" s="61"/>
      <c r="H71" s="61"/>
      <c r="I71" s="61"/>
      <c r="J71" s="61"/>
      <c r="K71" s="61"/>
      <c r="L71" s="61"/>
      <c r="M71" s="61"/>
      <c r="N71" s="61"/>
      <c r="W71" s="49" t="b">
        <f t="shared" si="14"/>
        <v>1</v>
      </c>
      <c r="X71" s="49" t="b">
        <f t="shared" si="14"/>
        <v>1</v>
      </c>
      <c r="Y71" s="49" t="b">
        <f t="shared" si="14"/>
        <v>1</v>
      </c>
      <c r="Z71" s="49" t="b">
        <f t="shared" si="14"/>
        <v>1</v>
      </c>
    </row>
    <row r="72" spans="1:26">
      <c r="A72" s="47">
        <v>5.9</v>
      </c>
      <c r="B72" s="47">
        <v>3.2</v>
      </c>
      <c r="C72" s="47">
        <v>4.8</v>
      </c>
      <c r="D72" s="47">
        <v>1.8</v>
      </c>
      <c r="E72" s="47" t="s">
        <v>11</v>
      </c>
      <c r="G72" s="61"/>
      <c r="H72" s="61"/>
      <c r="I72" s="61"/>
      <c r="J72" s="61"/>
      <c r="K72" s="61"/>
      <c r="L72" s="61"/>
      <c r="M72" s="61"/>
      <c r="N72" s="61"/>
      <c r="W72" s="49" t="b">
        <f t="shared" si="14"/>
        <v>1</v>
      </c>
      <c r="X72" s="49" t="b">
        <f t="shared" si="14"/>
        <v>1</v>
      </c>
      <c r="Y72" s="49" t="b">
        <f t="shared" si="14"/>
        <v>1</v>
      </c>
      <c r="Z72" s="49" t="b">
        <f t="shared" si="14"/>
        <v>1</v>
      </c>
    </row>
    <row r="73" spans="1:26">
      <c r="A73" s="47">
        <v>6.1</v>
      </c>
      <c r="B73" s="47">
        <v>2.8</v>
      </c>
      <c r="C73" s="47">
        <v>4</v>
      </c>
      <c r="D73" s="47">
        <v>1.3</v>
      </c>
      <c r="E73" s="47" t="s">
        <v>11</v>
      </c>
      <c r="G73" s="61"/>
      <c r="H73" s="61"/>
      <c r="I73" s="61"/>
      <c r="J73" s="61"/>
      <c r="K73" s="61"/>
      <c r="L73" s="61"/>
      <c r="M73" s="61"/>
      <c r="N73" s="61"/>
      <c r="W73" s="49" t="b">
        <f t="shared" si="14"/>
        <v>1</v>
      </c>
      <c r="X73" s="49" t="b">
        <f t="shared" si="14"/>
        <v>1</v>
      </c>
      <c r="Y73" s="49" t="b">
        <f t="shared" si="14"/>
        <v>1</v>
      </c>
      <c r="Z73" s="49" t="b">
        <f t="shared" si="14"/>
        <v>1</v>
      </c>
    </row>
    <row r="74" spans="1:26">
      <c r="A74" s="47">
        <v>6.3</v>
      </c>
      <c r="B74" s="47">
        <v>2.5</v>
      </c>
      <c r="C74" s="47">
        <v>4.9000000000000004</v>
      </c>
      <c r="D74" s="47">
        <v>1.5</v>
      </c>
      <c r="E74" s="47" t="s">
        <v>11</v>
      </c>
      <c r="G74" s="61"/>
      <c r="H74" s="61"/>
      <c r="I74" s="61"/>
      <c r="J74" s="61"/>
      <c r="K74" s="61"/>
      <c r="L74" s="61"/>
      <c r="M74" s="61"/>
      <c r="N74" s="61"/>
      <c r="W74" s="49" t="b">
        <f t="shared" si="14"/>
        <v>1</v>
      </c>
      <c r="X74" s="49" t="b">
        <f t="shared" si="14"/>
        <v>1</v>
      </c>
      <c r="Y74" s="49" t="b">
        <f t="shared" si="14"/>
        <v>1</v>
      </c>
      <c r="Z74" s="49" t="b">
        <f t="shared" si="14"/>
        <v>1</v>
      </c>
    </row>
    <row r="75" spans="1:26">
      <c r="A75" s="47">
        <v>6.1</v>
      </c>
      <c r="B75" s="47">
        <v>2.8</v>
      </c>
      <c r="C75" s="47">
        <v>4.7</v>
      </c>
      <c r="D75" s="47">
        <v>1.2</v>
      </c>
      <c r="E75" s="47" t="s">
        <v>11</v>
      </c>
      <c r="G75" s="61"/>
      <c r="H75" s="61"/>
      <c r="I75" s="61"/>
      <c r="J75" s="61"/>
      <c r="K75" s="61"/>
      <c r="L75" s="61"/>
      <c r="M75" s="61"/>
      <c r="N75" s="61"/>
      <c r="W75" s="49" t="b">
        <f t="shared" si="14"/>
        <v>1</v>
      </c>
      <c r="X75" s="49" t="b">
        <f t="shared" si="14"/>
        <v>1</v>
      </c>
      <c r="Y75" s="49" t="b">
        <f t="shared" si="14"/>
        <v>1</v>
      </c>
      <c r="Z75" s="49" t="b">
        <f t="shared" si="14"/>
        <v>1</v>
      </c>
    </row>
    <row r="76" spans="1:26">
      <c r="A76" s="47">
        <v>6.4</v>
      </c>
      <c r="B76" s="47">
        <v>2.9</v>
      </c>
      <c r="C76" s="47">
        <v>4.3</v>
      </c>
      <c r="D76" s="47">
        <v>1.3</v>
      </c>
      <c r="E76" s="47" t="s">
        <v>11</v>
      </c>
      <c r="G76" s="61"/>
      <c r="H76" s="61"/>
      <c r="I76" s="61"/>
      <c r="J76" s="61"/>
      <c r="K76" s="61"/>
      <c r="L76" s="61"/>
      <c r="M76" s="61"/>
      <c r="N76" s="61"/>
      <c r="W76" s="49" t="b">
        <f t="shared" si="14"/>
        <v>1</v>
      </c>
      <c r="X76" s="49" t="b">
        <f t="shared" si="14"/>
        <v>1</v>
      </c>
      <c r="Y76" s="49" t="b">
        <f t="shared" si="14"/>
        <v>1</v>
      </c>
      <c r="Z76" s="49" t="b">
        <f t="shared" si="14"/>
        <v>1</v>
      </c>
    </row>
    <row r="77" spans="1:26">
      <c r="A77" s="47">
        <v>6.6</v>
      </c>
      <c r="B77" s="47">
        <v>3</v>
      </c>
      <c r="C77" s="47">
        <v>4.4000000000000004</v>
      </c>
      <c r="D77" s="47">
        <v>1.4</v>
      </c>
      <c r="E77" s="47" t="s">
        <v>11</v>
      </c>
      <c r="G77" s="61"/>
      <c r="H77" s="61"/>
      <c r="I77" s="61"/>
      <c r="J77" s="61"/>
      <c r="K77" s="61"/>
      <c r="L77" s="61"/>
      <c r="M77" s="61"/>
      <c r="N77" s="61"/>
      <c r="W77" s="49" t="b">
        <f t="shared" si="14"/>
        <v>1</v>
      </c>
      <c r="X77" s="49" t="b">
        <f t="shared" si="14"/>
        <v>1</v>
      </c>
      <c r="Y77" s="49" t="b">
        <f t="shared" si="14"/>
        <v>1</v>
      </c>
      <c r="Z77" s="49" t="b">
        <f t="shared" si="14"/>
        <v>1</v>
      </c>
    </row>
    <row r="78" spans="1:26">
      <c r="A78" s="47">
        <v>6.8</v>
      </c>
      <c r="B78" s="47">
        <v>2.8</v>
      </c>
      <c r="C78" s="47">
        <v>4.8</v>
      </c>
      <c r="D78" s="47">
        <v>1.4</v>
      </c>
      <c r="E78" s="47" t="s">
        <v>11</v>
      </c>
      <c r="G78" s="61"/>
      <c r="H78" s="61"/>
      <c r="I78" s="61"/>
      <c r="J78" s="61"/>
      <c r="K78" s="61"/>
      <c r="L78" s="61"/>
      <c r="M78" s="61"/>
      <c r="N78" s="61"/>
      <c r="W78" s="49" t="b">
        <f t="shared" si="14"/>
        <v>1</v>
      </c>
      <c r="X78" s="49" t="b">
        <f t="shared" si="14"/>
        <v>1</v>
      </c>
      <c r="Y78" s="49" t="b">
        <f t="shared" si="14"/>
        <v>1</v>
      </c>
      <c r="Z78" s="49" t="b">
        <f t="shared" si="14"/>
        <v>1</v>
      </c>
    </row>
    <row r="79" spans="1:26">
      <c r="A79" s="47">
        <v>6.7</v>
      </c>
      <c r="B79" s="47">
        <v>3</v>
      </c>
      <c r="C79" s="47">
        <v>5</v>
      </c>
      <c r="D79" s="47">
        <v>1.7</v>
      </c>
      <c r="E79" s="47" t="s">
        <v>11</v>
      </c>
      <c r="G79" s="61"/>
      <c r="H79" s="61"/>
      <c r="I79" s="61"/>
      <c r="J79" s="61"/>
      <c r="K79" s="61"/>
      <c r="L79" s="61"/>
      <c r="M79" s="61"/>
      <c r="N79" s="61"/>
      <c r="W79" s="49" t="b">
        <f t="shared" si="14"/>
        <v>1</v>
      </c>
      <c r="X79" s="49" t="b">
        <f t="shared" si="14"/>
        <v>1</v>
      </c>
      <c r="Y79" s="49" t="b">
        <f t="shared" si="14"/>
        <v>1</v>
      </c>
      <c r="Z79" s="49" t="b">
        <f t="shared" si="14"/>
        <v>1</v>
      </c>
    </row>
    <row r="80" spans="1:26">
      <c r="A80" s="47">
        <v>6</v>
      </c>
      <c r="B80" s="47">
        <v>2.9</v>
      </c>
      <c r="C80" s="47">
        <v>4.5</v>
      </c>
      <c r="D80" s="47">
        <v>1.5</v>
      </c>
      <c r="E80" s="47" t="s">
        <v>11</v>
      </c>
      <c r="W80" s="49" t="b">
        <f t="shared" si="14"/>
        <v>1</v>
      </c>
      <c r="X80" s="49" t="b">
        <f t="shared" si="14"/>
        <v>1</v>
      </c>
      <c r="Y80" s="49" t="b">
        <f t="shared" si="14"/>
        <v>1</v>
      </c>
      <c r="Z80" s="49" t="b">
        <f t="shared" si="14"/>
        <v>1</v>
      </c>
    </row>
    <row r="81" spans="1:26">
      <c r="A81" s="47">
        <v>5.7</v>
      </c>
      <c r="B81" s="47">
        <v>2.6</v>
      </c>
      <c r="C81" s="47">
        <v>3.5</v>
      </c>
      <c r="D81" s="47">
        <v>1</v>
      </c>
      <c r="E81" s="47" t="s">
        <v>11</v>
      </c>
      <c r="W81" s="49" t="b">
        <f t="shared" si="14"/>
        <v>1</v>
      </c>
      <c r="X81" s="49" t="b">
        <f t="shared" si="14"/>
        <v>1</v>
      </c>
      <c r="Y81" s="49" t="b">
        <f t="shared" si="14"/>
        <v>1</v>
      </c>
      <c r="Z81" s="49" t="b">
        <f t="shared" si="14"/>
        <v>1</v>
      </c>
    </row>
    <row r="82" spans="1:26">
      <c r="A82" s="47">
        <v>5.5</v>
      </c>
      <c r="B82" s="47">
        <v>2.4</v>
      </c>
      <c r="C82" s="47">
        <v>3.8</v>
      </c>
      <c r="D82" s="47">
        <v>1.1000000000000001</v>
      </c>
      <c r="E82" s="47" t="s">
        <v>11</v>
      </c>
      <c r="W82" s="49" t="b">
        <f t="shared" si="14"/>
        <v>1</v>
      </c>
      <c r="X82" s="49" t="b">
        <f t="shared" si="14"/>
        <v>1</v>
      </c>
      <c r="Y82" s="49" t="b">
        <f t="shared" si="14"/>
        <v>1</v>
      </c>
      <c r="Z82" s="49" t="b">
        <f t="shared" si="14"/>
        <v>1</v>
      </c>
    </row>
    <row r="83" spans="1:26">
      <c r="A83" s="47">
        <v>5.5</v>
      </c>
      <c r="B83" s="47">
        <v>2.4</v>
      </c>
      <c r="C83" s="47">
        <v>3.7</v>
      </c>
      <c r="D83" s="47">
        <v>1</v>
      </c>
      <c r="E83" s="47" t="s">
        <v>11</v>
      </c>
      <c r="W83" s="49" t="b">
        <f t="shared" si="14"/>
        <v>1</v>
      </c>
      <c r="X83" s="49" t="b">
        <f t="shared" si="14"/>
        <v>1</v>
      </c>
      <c r="Y83" s="49" t="b">
        <f t="shared" si="14"/>
        <v>1</v>
      </c>
      <c r="Z83" s="49" t="b">
        <f t="shared" si="14"/>
        <v>1</v>
      </c>
    </row>
    <row r="84" spans="1:26">
      <c r="A84" s="47">
        <v>5.8</v>
      </c>
      <c r="B84" s="47">
        <v>2.7</v>
      </c>
      <c r="C84" s="47">
        <v>3.9</v>
      </c>
      <c r="D84" s="47">
        <v>1.2</v>
      </c>
      <c r="E84" s="47" t="s">
        <v>11</v>
      </c>
      <c r="W84" s="49" t="b">
        <f t="shared" si="14"/>
        <v>1</v>
      </c>
      <c r="X84" s="49" t="b">
        <f t="shared" si="14"/>
        <v>1</v>
      </c>
      <c r="Y84" s="49" t="b">
        <f t="shared" si="14"/>
        <v>1</v>
      </c>
      <c r="Z84" s="49" t="b">
        <f t="shared" si="14"/>
        <v>1</v>
      </c>
    </row>
    <row r="85" spans="1:26">
      <c r="A85" s="47">
        <v>6</v>
      </c>
      <c r="B85" s="47">
        <v>2.7</v>
      </c>
      <c r="C85" s="47">
        <v>5.0999999999999996</v>
      </c>
      <c r="D85" s="47">
        <v>1.6</v>
      </c>
      <c r="E85" s="47" t="s">
        <v>11</v>
      </c>
      <c r="W85" s="49" t="b">
        <f t="shared" si="14"/>
        <v>1</v>
      </c>
      <c r="X85" s="49" t="b">
        <f t="shared" si="14"/>
        <v>1</v>
      </c>
      <c r="Y85" s="49" t="b">
        <f t="shared" si="14"/>
        <v>1</v>
      </c>
      <c r="Z85" s="49" t="b">
        <f t="shared" si="14"/>
        <v>1</v>
      </c>
    </row>
    <row r="86" spans="1:26">
      <c r="A86" s="47">
        <v>5.4</v>
      </c>
      <c r="B86" s="47">
        <v>3</v>
      </c>
      <c r="C86" s="47">
        <v>4.5</v>
      </c>
      <c r="D86" s="47">
        <v>1.5</v>
      </c>
      <c r="E86" s="47" t="s">
        <v>11</v>
      </c>
      <c r="W86" s="49" t="b">
        <f t="shared" si="14"/>
        <v>1</v>
      </c>
      <c r="X86" s="49" t="b">
        <f t="shared" si="14"/>
        <v>1</v>
      </c>
      <c r="Y86" s="49" t="b">
        <f t="shared" si="14"/>
        <v>1</v>
      </c>
      <c r="Z86" s="49" t="b">
        <f t="shared" si="14"/>
        <v>1</v>
      </c>
    </row>
    <row r="87" spans="1:26">
      <c r="A87" s="47">
        <v>6</v>
      </c>
      <c r="B87" s="47">
        <v>3.4</v>
      </c>
      <c r="C87" s="47">
        <v>4.5</v>
      </c>
      <c r="D87" s="47">
        <v>1.6</v>
      </c>
      <c r="E87" s="47" t="s">
        <v>11</v>
      </c>
      <c r="W87" s="49" t="b">
        <f t="shared" si="14"/>
        <v>1</v>
      </c>
      <c r="X87" s="49" t="b">
        <f t="shared" si="14"/>
        <v>1</v>
      </c>
      <c r="Y87" s="49" t="b">
        <f t="shared" si="14"/>
        <v>1</v>
      </c>
      <c r="Z87" s="49" t="b">
        <f t="shared" si="14"/>
        <v>1</v>
      </c>
    </row>
    <row r="88" spans="1:26">
      <c r="A88" s="47">
        <v>6.7</v>
      </c>
      <c r="B88" s="47">
        <v>3.1</v>
      </c>
      <c r="C88" s="47">
        <v>4.7</v>
      </c>
      <c r="D88" s="47">
        <v>1.5</v>
      </c>
      <c r="E88" s="47" t="s">
        <v>11</v>
      </c>
      <c r="W88" s="49" t="b">
        <f t="shared" si="14"/>
        <v>1</v>
      </c>
      <c r="X88" s="49" t="b">
        <f t="shared" si="14"/>
        <v>1</v>
      </c>
      <c r="Y88" s="49" t="b">
        <f t="shared" si="14"/>
        <v>1</v>
      </c>
      <c r="Z88" s="49" t="b">
        <f t="shared" si="14"/>
        <v>1</v>
      </c>
    </row>
    <row r="89" spans="1:26">
      <c r="A89" s="47">
        <v>6.3</v>
      </c>
      <c r="B89" s="47">
        <v>2.2999999999999998</v>
      </c>
      <c r="C89" s="47">
        <v>4.4000000000000004</v>
      </c>
      <c r="D89" s="47">
        <v>1.3</v>
      </c>
      <c r="E89" s="47" t="s">
        <v>11</v>
      </c>
      <c r="W89" s="49" t="b">
        <f t="shared" si="14"/>
        <v>1</v>
      </c>
      <c r="X89" s="49" t="b">
        <f t="shared" si="14"/>
        <v>1</v>
      </c>
      <c r="Y89" s="49" t="b">
        <f t="shared" si="14"/>
        <v>1</v>
      </c>
      <c r="Z89" s="49" t="b">
        <f t="shared" si="14"/>
        <v>1</v>
      </c>
    </row>
    <row r="90" spans="1:26">
      <c r="A90" s="47">
        <v>5.6</v>
      </c>
      <c r="B90" s="47">
        <v>3</v>
      </c>
      <c r="C90" s="47">
        <v>4.0999999999999996</v>
      </c>
      <c r="D90" s="47">
        <v>1.3</v>
      </c>
      <c r="E90" s="47" t="s">
        <v>11</v>
      </c>
      <c r="W90" s="49" t="b">
        <f t="shared" si="14"/>
        <v>1</v>
      </c>
      <c r="X90" s="49" t="b">
        <f t="shared" si="14"/>
        <v>1</v>
      </c>
      <c r="Y90" s="49" t="b">
        <f t="shared" si="14"/>
        <v>1</v>
      </c>
      <c r="Z90" s="49" t="b">
        <f t="shared" si="14"/>
        <v>1</v>
      </c>
    </row>
    <row r="91" spans="1:26">
      <c r="A91" s="47">
        <v>5.5</v>
      </c>
      <c r="B91" s="47">
        <v>2.5</v>
      </c>
      <c r="C91" s="47">
        <v>4</v>
      </c>
      <c r="D91" s="47">
        <v>1.3</v>
      </c>
      <c r="E91" s="47" t="s">
        <v>11</v>
      </c>
      <c r="W91" s="49" t="b">
        <f t="shared" si="14"/>
        <v>1</v>
      </c>
      <c r="X91" s="49" t="b">
        <f t="shared" si="14"/>
        <v>1</v>
      </c>
      <c r="Y91" s="49" t="b">
        <f t="shared" si="14"/>
        <v>1</v>
      </c>
      <c r="Z91" s="49" t="b">
        <f t="shared" si="14"/>
        <v>1</v>
      </c>
    </row>
    <row r="92" spans="1:26">
      <c r="A92" s="47">
        <v>5.5</v>
      </c>
      <c r="B92" s="47">
        <v>2.6</v>
      </c>
      <c r="C92" s="47">
        <v>4.4000000000000004</v>
      </c>
      <c r="D92" s="47">
        <v>1.2</v>
      </c>
      <c r="E92" s="47" t="s">
        <v>11</v>
      </c>
      <c r="W92" s="49" t="b">
        <f t="shared" si="14"/>
        <v>1</v>
      </c>
      <c r="X92" s="49" t="b">
        <f t="shared" si="14"/>
        <v>1</v>
      </c>
      <c r="Y92" s="49" t="b">
        <f t="shared" si="14"/>
        <v>1</v>
      </c>
      <c r="Z92" s="49" t="b">
        <f t="shared" si="14"/>
        <v>1</v>
      </c>
    </row>
    <row r="93" spans="1:26">
      <c r="A93" s="47">
        <v>6.1</v>
      </c>
      <c r="B93" s="47">
        <v>3</v>
      </c>
      <c r="C93" s="47">
        <v>4.5999999999999996</v>
      </c>
      <c r="D93" s="47">
        <v>1.4</v>
      </c>
      <c r="E93" s="47" t="s">
        <v>11</v>
      </c>
      <c r="W93" s="49" t="b">
        <f t="shared" si="14"/>
        <v>1</v>
      </c>
      <c r="X93" s="49" t="b">
        <f t="shared" si="14"/>
        <v>1</v>
      </c>
      <c r="Y93" s="49" t="b">
        <f t="shared" si="14"/>
        <v>1</v>
      </c>
      <c r="Z93" s="49" t="b">
        <f t="shared" si="14"/>
        <v>1</v>
      </c>
    </row>
    <row r="94" spans="1:26">
      <c r="A94" s="47">
        <v>5.8</v>
      </c>
      <c r="B94" s="47">
        <v>2.6</v>
      </c>
      <c r="C94" s="47">
        <v>4</v>
      </c>
      <c r="D94" s="47">
        <v>1.2</v>
      </c>
      <c r="E94" s="47" t="s">
        <v>11</v>
      </c>
      <c r="W94" s="49" t="b">
        <f t="shared" si="14"/>
        <v>1</v>
      </c>
      <c r="X94" s="49" t="b">
        <f t="shared" si="14"/>
        <v>1</v>
      </c>
      <c r="Y94" s="49" t="b">
        <f t="shared" si="14"/>
        <v>1</v>
      </c>
      <c r="Z94" s="49" t="b">
        <f t="shared" si="14"/>
        <v>1</v>
      </c>
    </row>
    <row r="95" spans="1:26">
      <c r="A95" s="47">
        <v>5</v>
      </c>
      <c r="B95" s="47">
        <v>2.2999999999999998</v>
      </c>
      <c r="C95" s="47">
        <v>3.3</v>
      </c>
      <c r="D95" s="47">
        <v>1</v>
      </c>
      <c r="E95" s="47" t="s">
        <v>11</v>
      </c>
      <c r="W95" s="49" t="b">
        <f t="shared" si="14"/>
        <v>1</v>
      </c>
      <c r="X95" s="49" t="b">
        <f t="shared" si="14"/>
        <v>1</v>
      </c>
      <c r="Y95" s="49" t="b">
        <f t="shared" si="14"/>
        <v>1</v>
      </c>
      <c r="Z95" s="49" t="b">
        <f t="shared" si="14"/>
        <v>1</v>
      </c>
    </row>
    <row r="96" spans="1:26">
      <c r="A96" s="47">
        <v>5.6</v>
      </c>
      <c r="B96" s="47">
        <v>2.7</v>
      </c>
      <c r="C96" s="47">
        <v>4.2</v>
      </c>
      <c r="D96" s="47">
        <v>1.3</v>
      </c>
      <c r="E96" s="47" t="s">
        <v>11</v>
      </c>
      <c r="W96" s="49" t="b">
        <f t="shared" si="14"/>
        <v>1</v>
      </c>
      <c r="X96" s="49" t="b">
        <f t="shared" si="14"/>
        <v>1</v>
      </c>
      <c r="Y96" s="49" t="b">
        <f t="shared" si="14"/>
        <v>1</v>
      </c>
      <c r="Z96" s="49" t="b">
        <f t="shared" si="14"/>
        <v>1</v>
      </c>
    </row>
    <row r="97" spans="1:26">
      <c r="A97" s="47">
        <v>5.7</v>
      </c>
      <c r="B97" s="47">
        <v>3</v>
      </c>
      <c r="C97" s="47">
        <v>4.2</v>
      </c>
      <c r="D97" s="47">
        <v>1.2</v>
      </c>
      <c r="E97" s="47" t="s">
        <v>11</v>
      </c>
      <c r="W97" s="49" t="b">
        <f t="shared" si="14"/>
        <v>1</v>
      </c>
      <c r="X97" s="49" t="b">
        <f t="shared" si="14"/>
        <v>1</v>
      </c>
      <c r="Y97" s="49" t="b">
        <f t="shared" si="14"/>
        <v>1</v>
      </c>
      <c r="Z97" s="49" t="b">
        <f t="shared" si="14"/>
        <v>1</v>
      </c>
    </row>
    <row r="98" spans="1:26">
      <c r="A98" s="47">
        <v>5.7</v>
      </c>
      <c r="B98" s="47">
        <v>2.9</v>
      </c>
      <c r="C98" s="47">
        <v>4.2</v>
      </c>
      <c r="D98" s="47">
        <v>1.3</v>
      </c>
      <c r="E98" s="47" t="s">
        <v>11</v>
      </c>
      <c r="W98" s="49" t="b">
        <f t="shared" ref="W98:Z129" si="15">AND(A98&gt;H$23, A98&lt;H$24)</f>
        <v>1</v>
      </c>
      <c r="X98" s="49" t="b">
        <f t="shared" si="15"/>
        <v>1</v>
      </c>
      <c r="Y98" s="49" t="b">
        <f t="shared" si="15"/>
        <v>1</v>
      </c>
      <c r="Z98" s="49" t="b">
        <f t="shared" si="15"/>
        <v>1</v>
      </c>
    </row>
    <row r="99" spans="1:26">
      <c r="A99" s="47">
        <v>6.2</v>
      </c>
      <c r="B99" s="47">
        <v>2.9</v>
      </c>
      <c r="C99" s="47">
        <v>4.3</v>
      </c>
      <c r="D99" s="47">
        <v>1.3</v>
      </c>
      <c r="E99" s="47" t="s">
        <v>11</v>
      </c>
      <c r="W99" s="49" t="b">
        <f t="shared" si="15"/>
        <v>1</v>
      </c>
      <c r="X99" s="49" t="b">
        <f t="shared" si="15"/>
        <v>1</v>
      </c>
      <c r="Y99" s="49" t="b">
        <f t="shared" si="15"/>
        <v>1</v>
      </c>
      <c r="Z99" s="49" t="b">
        <f t="shared" si="15"/>
        <v>1</v>
      </c>
    </row>
    <row r="100" spans="1:26">
      <c r="A100" s="47">
        <v>5.0999999999999996</v>
      </c>
      <c r="B100" s="47">
        <v>2.5</v>
      </c>
      <c r="C100" s="47">
        <v>3</v>
      </c>
      <c r="D100" s="47">
        <v>1.1000000000000001</v>
      </c>
      <c r="E100" s="47" t="s">
        <v>11</v>
      </c>
      <c r="W100" s="49" t="b">
        <f t="shared" si="15"/>
        <v>1</v>
      </c>
      <c r="X100" s="49" t="b">
        <f t="shared" si="15"/>
        <v>1</v>
      </c>
      <c r="Y100" s="49" t="b">
        <f t="shared" si="15"/>
        <v>1</v>
      </c>
      <c r="Z100" s="49" t="b">
        <f t="shared" si="15"/>
        <v>1</v>
      </c>
    </row>
    <row r="101" spans="1:26">
      <c r="A101" s="47">
        <v>5.7</v>
      </c>
      <c r="B101" s="47">
        <v>2.8</v>
      </c>
      <c r="C101" s="47">
        <v>4.0999999999999996</v>
      </c>
      <c r="D101" s="47">
        <v>1.3</v>
      </c>
      <c r="E101" s="47" t="s">
        <v>11</v>
      </c>
      <c r="W101" s="49" t="b">
        <f t="shared" si="15"/>
        <v>1</v>
      </c>
      <c r="X101" s="49" t="b">
        <f t="shared" si="15"/>
        <v>1</v>
      </c>
      <c r="Y101" s="49" t="b">
        <f t="shared" si="15"/>
        <v>1</v>
      </c>
      <c r="Z101" s="49" t="b">
        <f t="shared" si="15"/>
        <v>1</v>
      </c>
    </row>
    <row r="102" spans="1:26">
      <c r="A102" s="47">
        <v>6.3</v>
      </c>
      <c r="B102" s="47">
        <v>3.3</v>
      </c>
      <c r="C102" s="47">
        <v>6</v>
      </c>
      <c r="D102" s="47">
        <v>2.5</v>
      </c>
      <c r="E102" s="47" t="s">
        <v>12</v>
      </c>
      <c r="W102" s="49" t="b">
        <f t="shared" si="15"/>
        <v>1</v>
      </c>
      <c r="X102" s="49" t="b">
        <f t="shared" si="15"/>
        <v>1</v>
      </c>
      <c r="Y102" s="49" t="b">
        <f t="shared" si="15"/>
        <v>1</v>
      </c>
      <c r="Z102" s="49" t="b">
        <f t="shared" si="15"/>
        <v>1</v>
      </c>
    </row>
    <row r="103" spans="1:26">
      <c r="A103" s="47">
        <v>5.8</v>
      </c>
      <c r="B103" s="47">
        <v>2.7</v>
      </c>
      <c r="C103" s="47">
        <v>5.0999999999999996</v>
      </c>
      <c r="D103" s="47">
        <v>1.9</v>
      </c>
      <c r="E103" s="47" t="s">
        <v>12</v>
      </c>
      <c r="W103" s="49" t="b">
        <f t="shared" si="15"/>
        <v>1</v>
      </c>
      <c r="X103" s="49" t="b">
        <f t="shared" si="15"/>
        <v>1</v>
      </c>
      <c r="Y103" s="49" t="b">
        <f t="shared" si="15"/>
        <v>1</v>
      </c>
      <c r="Z103" s="49" t="b">
        <f t="shared" si="15"/>
        <v>1</v>
      </c>
    </row>
    <row r="104" spans="1:26">
      <c r="A104" s="47">
        <v>7.1</v>
      </c>
      <c r="B104" s="47">
        <v>3</v>
      </c>
      <c r="C104" s="47">
        <v>5.9</v>
      </c>
      <c r="D104" s="47">
        <v>2.1</v>
      </c>
      <c r="E104" s="47" t="s">
        <v>12</v>
      </c>
      <c r="W104" s="49" t="b">
        <f t="shared" si="15"/>
        <v>1</v>
      </c>
      <c r="X104" s="49" t="b">
        <f t="shared" si="15"/>
        <v>1</v>
      </c>
      <c r="Y104" s="49" t="b">
        <f t="shared" si="15"/>
        <v>1</v>
      </c>
      <c r="Z104" s="49" t="b">
        <f t="shared" si="15"/>
        <v>1</v>
      </c>
    </row>
    <row r="105" spans="1:26">
      <c r="A105" s="47">
        <v>6.3</v>
      </c>
      <c r="B105" s="47">
        <v>2.9</v>
      </c>
      <c r="C105" s="47">
        <v>5.6</v>
      </c>
      <c r="D105" s="47">
        <v>1.8</v>
      </c>
      <c r="E105" s="47" t="s">
        <v>12</v>
      </c>
      <c r="W105" s="49" t="b">
        <f t="shared" si="15"/>
        <v>1</v>
      </c>
      <c r="X105" s="49" t="b">
        <f t="shared" si="15"/>
        <v>1</v>
      </c>
      <c r="Y105" s="49" t="b">
        <f t="shared" si="15"/>
        <v>1</v>
      </c>
      <c r="Z105" s="49" t="b">
        <f t="shared" si="15"/>
        <v>1</v>
      </c>
    </row>
    <row r="106" spans="1:26">
      <c r="A106" s="47">
        <v>6.5</v>
      </c>
      <c r="B106" s="47">
        <v>3</v>
      </c>
      <c r="C106" s="47">
        <v>5.8</v>
      </c>
      <c r="D106" s="47">
        <v>2.2000000000000002</v>
      </c>
      <c r="E106" s="47" t="s">
        <v>12</v>
      </c>
      <c r="W106" s="49" t="b">
        <f t="shared" si="15"/>
        <v>1</v>
      </c>
      <c r="X106" s="49" t="b">
        <f t="shared" si="15"/>
        <v>1</v>
      </c>
      <c r="Y106" s="49" t="b">
        <f t="shared" si="15"/>
        <v>1</v>
      </c>
      <c r="Z106" s="49" t="b">
        <f t="shared" si="15"/>
        <v>1</v>
      </c>
    </row>
    <row r="107" spans="1:26">
      <c r="A107" s="47">
        <v>7.6</v>
      </c>
      <c r="B107" s="47">
        <v>3</v>
      </c>
      <c r="C107" s="47">
        <v>6.6</v>
      </c>
      <c r="D107" s="47">
        <v>2.1</v>
      </c>
      <c r="E107" s="47" t="s">
        <v>12</v>
      </c>
      <c r="W107" s="49" t="b">
        <f t="shared" si="15"/>
        <v>1</v>
      </c>
      <c r="X107" s="49" t="b">
        <f t="shared" si="15"/>
        <v>1</v>
      </c>
      <c r="Y107" s="49" t="b">
        <f t="shared" si="15"/>
        <v>1</v>
      </c>
      <c r="Z107" s="49" t="b">
        <f t="shared" si="15"/>
        <v>1</v>
      </c>
    </row>
    <row r="108" spans="1:26">
      <c r="A108" s="47">
        <v>4.9000000000000004</v>
      </c>
      <c r="B108" s="47">
        <v>2.5</v>
      </c>
      <c r="C108" s="47">
        <v>4.5</v>
      </c>
      <c r="D108" s="47">
        <v>1.7</v>
      </c>
      <c r="E108" s="47" t="s">
        <v>12</v>
      </c>
      <c r="W108" s="49" t="b">
        <f t="shared" si="15"/>
        <v>1</v>
      </c>
      <c r="X108" s="49" t="b">
        <f t="shared" si="15"/>
        <v>1</v>
      </c>
      <c r="Y108" s="49" t="b">
        <f t="shared" si="15"/>
        <v>1</v>
      </c>
      <c r="Z108" s="49" t="b">
        <f t="shared" si="15"/>
        <v>1</v>
      </c>
    </row>
    <row r="109" spans="1:26">
      <c r="A109" s="47">
        <v>7.3</v>
      </c>
      <c r="B109" s="47">
        <v>2.9</v>
      </c>
      <c r="C109" s="47">
        <v>6.3</v>
      </c>
      <c r="D109" s="47">
        <v>1.8</v>
      </c>
      <c r="E109" s="47" t="s">
        <v>12</v>
      </c>
      <c r="W109" s="49" t="b">
        <f t="shared" si="15"/>
        <v>1</v>
      </c>
      <c r="X109" s="49" t="b">
        <f t="shared" si="15"/>
        <v>1</v>
      </c>
      <c r="Y109" s="49" t="b">
        <f t="shared" si="15"/>
        <v>1</v>
      </c>
      <c r="Z109" s="49" t="b">
        <f t="shared" si="15"/>
        <v>1</v>
      </c>
    </row>
    <row r="110" spans="1:26">
      <c r="A110" s="47">
        <v>6.7</v>
      </c>
      <c r="B110" s="47">
        <v>2.5</v>
      </c>
      <c r="C110" s="47">
        <v>5.8</v>
      </c>
      <c r="D110" s="47">
        <v>1.8</v>
      </c>
      <c r="E110" s="47" t="s">
        <v>12</v>
      </c>
      <c r="W110" s="49" t="b">
        <f t="shared" si="15"/>
        <v>1</v>
      </c>
      <c r="X110" s="49" t="b">
        <f t="shared" si="15"/>
        <v>1</v>
      </c>
      <c r="Y110" s="49" t="b">
        <f t="shared" si="15"/>
        <v>1</v>
      </c>
      <c r="Z110" s="49" t="b">
        <f t="shared" si="15"/>
        <v>1</v>
      </c>
    </row>
    <row r="111" spans="1:26">
      <c r="A111" s="47">
        <v>7.2</v>
      </c>
      <c r="B111" s="47">
        <v>3.6</v>
      </c>
      <c r="C111" s="47">
        <v>6.1</v>
      </c>
      <c r="D111" s="47">
        <v>2.5</v>
      </c>
      <c r="E111" s="47" t="s">
        <v>12</v>
      </c>
      <c r="W111" s="49" t="b">
        <f t="shared" si="15"/>
        <v>1</v>
      </c>
      <c r="X111" s="49" t="b">
        <f t="shared" si="15"/>
        <v>1</v>
      </c>
      <c r="Y111" s="49" t="b">
        <f t="shared" si="15"/>
        <v>1</v>
      </c>
      <c r="Z111" s="49" t="b">
        <f t="shared" si="15"/>
        <v>1</v>
      </c>
    </row>
    <row r="112" spans="1:26">
      <c r="A112" s="47">
        <v>6.5</v>
      </c>
      <c r="B112" s="47">
        <v>3.2</v>
      </c>
      <c r="C112" s="47">
        <v>5.0999999999999996</v>
      </c>
      <c r="D112" s="47">
        <v>2</v>
      </c>
      <c r="E112" s="47" t="s">
        <v>12</v>
      </c>
      <c r="W112" s="49" t="b">
        <f t="shared" si="15"/>
        <v>1</v>
      </c>
      <c r="X112" s="49" t="b">
        <f t="shared" si="15"/>
        <v>1</v>
      </c>
      <c r="Y112" s="49" t="b">
        <f t="shared" si="15"/>
        <v>1</v>
      </c>
      <c r="Z112" s="49" t="b">
        <f t="shared" si="15"/>
        <v>1</v>
      </c>
    </row>
    <row r="113" spans="1:26">
      <c r="A113" s="47">
        <v>6.4</v>
      </c>
      <c r="B113" s="47">
        <v>2.7</v>
      </c>
      <c r="C113" s="47">
        <v>5.3</v>
      </c>
      <c r="D113" s="47">
        <v>1.9</v>
      </c>
      <c r="E113" s="47" t="s">
        <v>12</v>
      </c>
      <c r="W113" s="49" t="b">
        <f t="shared" si="15"/>
        <v>1</v>
      </c>
      <c r="X113" s="49" t="b">
        <f t="shared" si="15"/>
        <v>1</v>
      </c>
      <c r="Y113" s="49" t="b">
        <f t="shared" si="15"/>
        <v>1</v>
      </c>
      <c r="Z113" s="49" t="b">
        <f t="shared" si="15"/>
        <v>1</v>
      </c>
    </row>
    <row r="114" spans="1:26">
      <c r="A114" s="47">
        <v>6.8</v>
      </c>
      <c r="B114" s="47">
        <v>3</v>
      </c>
      <c r="C114" s="47">
        <v>5.5</v>
      </c>
      <c r="D114" s="47">
        <v>2.1</v>
      </c>
      <c r="E114" s="47" t="s">
        <v>12</v>
      </c>
      <c r="W114" s="49" t="b">
        <f t="shared" si="15"/>
        <v>1</v>
      </c>
      <c r="X114" s="49" t="b">
        <f t="shared" si="15"/>
        <v>1</v>
      </c>
      <c r="Y114" s="49" t="b">
        <f t="shared" si="15"/>
        <v>1</v>
      </c>
      <c r="Z114" s="49" t="b">
        <f t="shared" si="15"/>
        <v>1</v>
      </c>
    </row>
    <row r="115" spans="1:26">
      <c r="A115" s="47">
        <v>5.7</v>
      </c>
      <c r="B115" s="47">
        <v>2.5</v>
      </c>
      <c r="C115" s="47">
        <v>5</v>
      </c>
      <c r="D115" s="47">
        <v>2</v>
      </c>
      <c r="E115" s="47" t="s">
        <v>12</v>
      </c>
      <c r="W115" s="49" t="b">
        <f t="shared" si="15"/>
        <v>1</v>
      </c>
      <c r="X115" s="49" t="b">
        <f t="shared" si="15"/>
        <v>1</v>
      </c>
      <c r="Y115" s="49" t="b">
        <f t="shared" si="15"/>
        <v>1</v>
      </c>
      <c r="Z115" s="49" t="b">
        <f t="shared" si="15"/>
        <v>1</v>
      </c>
    </row>
    <row r="116" spans="1:26">
      <c r="A116" s="47">
        <v>5.8</v>
      </c>
      <c r="B116" s="47">
        <v>2.8</v>
      </c>
      <c r="C116" s="47">
        <v>5.0999999999999996</v>
      </c>
      <c r="D116" s="47">
        <v>2.4</v>
      </c>
      <c r="E116" s="47" t="s">
        <v>12</v>
      </c>
      <c r="W116" s="49" t="b">
        <f t="shared" si="15"/>
        <v>1</v>
      </c>
      <c r="X116" s="49" t="b">
        <f t="shared" si="15"/>
        <v>1</v>
      </c>
      <c r="Y116" s="49" t="b">
        <f t="shared" si="15"/>
        <v>1</v>
      </c>
      <c r="Z116" s="49" t="b">
        <f t="shared" si="15"/>
        <v>1</v>
      </c>
    </row>
    <row r="117" spans="1:26">
      <c r="A117" s="47">
        <v>6.4</v>
      </c>
      <c r="B117" s="47">
        <v>3.2</v>
      </c>
      <c r="C117" s="47">
        <v>5.3</v>
      </c>
      <c r="D117" s="47">
        <v>2.2999999999999998</v>
      </c>
      <c r="E117" s="47" t="s">
        <v>12</v>
      </c>
      <c r="W117" s="49" t="b">
        <f t="shared" si="15"/>
        <v>1</v>
      </c>
      <c r="X117" s="49" t="b">
        <f t="shared" si="15"/>
        <v>1</v>
      </c>
      <c r="Y117" s="49" t="b">
        <f t="shared" si="15"/>
        <v>1</v>
      </c>
      <c r="Z117" s="49" t="b">
        <f t="shared" si="15"/>
        <v>1</v>
      </c>
    </row>
    <row r="118" spans="1:26">
      <c r="A118" s="47">
        <v>6.5</v>
      </c>
      <c r="B118" s="47">
        <v>3</v>
      </c>
      <c r="C118" s="47">
        <v>5.5</v>
      </c>
      <c r="D118" s="47">
        <v>1.8</v>
      </c>
      <c r="E118" s="47" t="s">
        <v>12</v>
      </c>
      <c r="W118" s="49" t="b">
        <f t="shared" si="15"/>
        <v>1</v>
      </c>
      <c r="X118" s="49" t="b">
        <f t="shared" si="15"/>
        <v>1</v>
      </c>
      <c r="Y118" s="49" t="b">
        <f t="shared" si="15"/>
        <v>1</v>
      </c>
      <c r="Z118" s="49" t="b">
        <f t="shared" si="15"/>
        <v>1</v>
      </c>
    </row>
    <row r="119" spans="1:26">
      <c r="A119" s="47">
        <v>7.7</v>
      </c>
      <c r="B119" s="47">
        <v>3.8</v>
      </c>
      <c r="C119" s="47">
        <v>6.7</v>
      </c>
      <c r="D119" s="47">
        <v>2.2000000000000002</v>
      </c>
      <c r="E119" s="47" t="s">
        <v>12</v>
      </c>
      <c r="W119" s="49" t="b">
        <f t="shared" si="15"/>
        <v>1</v>
      </c>
      <c r="X119" s="49" t="b">
        <f t="shared" si="15"/>
        <v>1</v>
      </c>
      <c r="Y119" s="49" t="b">
        <f t="shared" si="15"/>
        <v>1</v>
      </c>
      <c r="Z119" s="49" t="b">
        <f t="shared" si="15"/>
        <v>1</v>
      </c>
    </row>
    <row r="120" spans="1:26">
      <c r="A120" s="47">
        <v>7.7</v>
      </c>
      <c r="B120" s="47">
        <v>2.6</v>
      </c>
      <c r="C120" s="47">
        <v>6.9</v>
      </c>
      <c r="D120" s="47">
        <v>2.2999999999999998</v>
      </c>
      <c r="E120" s="47" t="s">
        <v>12</v>
      </c>
      <c r="W120" s="49" t="b">
        <f t="shared" si="15"/>
        <v>1</v>
      </c>
      <c r="X120" s="49" t="b">
        <f t="shared" si="15"/>
        <v>1</v>
      </c>
      <c r="Y120" s="49" t="b">
        <f t="shared" si="15"/>
        <v>1</v>
      </c>
      <c r="Z120" s="49" t="b">
        <f t="shared" si="15"/>
        <v>1</v>
      </c>
    </row>
    <row r="121" spans="1:26">
      <c r="A121" s="47">
        <v>6</v>
      </c>
      <c r="B121" s="47">
        <v>2.2000000000000002</v>
      </c>
      <c r="C121" s="47">
        <v>5</v>
      </c>
      <c r="D121" s="47">
        <v>1.5</v>
      </c>
      <c r="E121" s="47" t="s">
        <v>12</v>
      </c>
      <c r="W121" s="49" t="b">
        <f t="shared" si="15"/>
        <v>1</v>
      </c>
      <c r="X121" s="49" t="b">
        <f t="shared" si="15"/>
        <v>1</v>
      </c>
      <c r="Y121" s="49" t="b">
        <f t="shared" si="15"/>
        <v>1</v>
      </c>
      <c r="Z121" s="49" t="b">
        <f t="shared" si="15"/>
        <v>1</v>
      </c>
    </row>
    <row r="122" spans="1:26">
      <c r="A122" s="47">
        <v>6.9</v>
      </c>
      <c r="B122" s="47">
        <v>3.2</v>
      </c>
      <c r="C122" s="47">
        <v>5.7</v>
      </c>
      <c r="D122" s="47">
        <v>2.2999999999999998</v>
      </c>
      <c r="E122" s="47" t="s">
        <v>12</v>
      </c>
      <c r="W122" s="49" t="b">
        <f t="shared" si="15"/>
        <v>1</v>
      </c>
      <c r="X122" s="49" t="b">
        <f t="shared" si="15"/>
        <v>1</v>
      </c>
      <c r="Y122" s="49" t="b">
        <f t="shared" si="15"/>
        <v>1</v>
      </c>
      <c r="Z122" s="49" t="b">
        <f t="shared" si="15"/>
        <v>1</v>
      </c>
    </row>
    <row r="123" spans="1:26">
      <c r="A123" s="47">
        <v>5.6</v>
      </c>
      <c r="B123" s="47">
        <v>2.8</v>
      </c>
      <c r="C123" s="47">
        <v>4.9000000000000004</v>
      </c>
      <c r="D123" s="47">
        <v>2</v>
      </c>
      <c r="E123" s="47" t="s">
        <v>12</v>
      </c>
      <c r="W123" s="49" t="b">
        <f t="shared" si="15"/>
        <v>1</v>
      </c>
      <c r="X123" s="49" t="b">
        <f t="shared" si="15"/>
        <v>1</v>
      </c>
      <c r="Y123" s="49" t="b">
        <f t="shared" si="15"/>
        <v>1</v>
      </c>
      <c r="Z123" s="49" t="b">
        <f t="shared" si="15"/>
        <v>1</v>
      </c>
    </row>
    <row r="124" spans="1:26">
      <c r="A124" s="47">
        <v>7.7</v>
      </c>
      <c r="B124" s="47">
        <v>2.8</v>
      </c>
      <c r="C124" s="47">
        <v>6.7</v>
      </c>
      <c r="D124" s="47">
        <v>2</v>
      </c>
      <c r="E124" s="47" t="s">
        <v>12</v>
      </c>
      <c r="W124" s="49" t="b">
        <f t="shared" si="15"/>
        <v>1</v>
      </c>
      <c r="X124" s="49" t="b">
        <f t="shared" si="15"/>
        <v>1</v>
      </c>
      <c r="Y124" s="49" t="b">
        <f t="shared" si="15"/>
        <v>1</v>
      </c>
      <c r="Z124" s="49" t="b">
        <f t="shared" si="15"/>
        <v>1</v>
      </c>
    </row>
    <row r="125" spans="1:26">
      <c r="A125" s="47">
        <v>6.3</v>
      </c>
      <c r="B125" s="47">
        <v>2.7</v>
      </c>
      <c r="C125" s="47">
        <v>4.9000000000000004</v>
      </c>
      <c r="D125" s="47">
        <v>1.8</v>
      </c>
      <c r="E125" s="47" t="s">
        <v>12</v>
      </c>
      <c r="W125" s="49" t="b">
        <f t="shared" si="15"/>
        <v>1</v>
      </c>
      <c r="X125" s="49" t="b">
        <f t="shared" si="15"/>
        <v>1</v>
      </c>
      <c r="Y125" s="49" t="b">
        <f t="shared" si="15"/>
        <v>1</v>
      </c>
      <c r="Z125" s="49" t="b">
        <f t="shared" si="15"/>
        <v>1</v>
      </c>
    </row>
    <row r="126" spans="1:26">
      <c r="A126" s="47">
        <v>6.7</v>
      </c>
      <c r="B126" s="47">
        <v>3.3</v>
      </c>
      <c r="C126" s="47">
        <v>5.7</v>
      </c>
      <c r="D126" s="47">
        <v>2.1</v>
      </c>
      <c r="E126" s="47" t="s">
        <v>12</v>
      </c>
      <c r="W126" s="49" t="b">
        <f t="shared" si="15"/>
        <v>1</v>
      </c>
      <c r="X126" s="49" t="b">
        <f t="shared" si="15"/>
        <v>1</v>
      </c>
      <c r="Y126" s="49" t="b">
        <f t="shared" si="15"/>
        <v>1</v>
      </c>
      <c r="Z126" s="49" t="b">
        <f t="shared" si="15"/>
        <v>1</v>
      </c>
    </row>
    <row r="127" spans="1:26">
      <c r="A127" s="47">
        <v>7.2</v>
      </c>
      <c r="B127" s="47">
        <v>3.2</v>
      </c>
      <c r="C127" s="47">
        <v>6</v>
      </c>
      <c r="D127" s="47">
        <v>1.8</v>
      </c>
      <c r="E127" s="47" t="s">
        <v>12</v>
      </c>
      <c r="W127" s="49" t="b">
        <f t="shared" si="15"/>
        <v>1</v>
      </c>
      <c r="X127" s="49" t="b">
        <f t="shared" si="15"/>
        <v>1</v>
      </c>
      <c r="Y127" s="49" t="b">
        <f t="shared" si="15"/>
        <v>1</v>
      </c>
      <c r="Z127" s="49" t="b">
        <f t="shared" si="15"/>
        <v>1</v>
      </c>
    </row>
    <row r="128" spans="1:26">
      <c r="A128" s="47">
        <v>6.2</v>
      </c>
      <c r="B128" s="47">
        <v>2.8</v>
      </c>
      <c r="C128" s="47">
        <v>4.8</v>
      </c>
      <c r="D128" s="47">
        <v>1.8</v>
      </c>
      <c r="E128" s="47" t="s">
        <v>12</v>
      </c>
      <c r="W128" s="49" t="b">
        <f t="shared" si="15"/>
        <v>1</v>
      </c>
      <c r="X128" s="49" t="b">
        <f t="shared" si="15"/>
        <v>1</v>
      </c>
      <c r="Y128" s="49" t="b">
        <f t="shared" si="15"/>
        <v>1</v>
      </c>
      <c r="Z128" s="49" t="b">
        <f t="shared" si="15"/>
        <v>1</v>
      </c>
    </row>
    <row r="129" spans="1:26">
      <c r="A129" s="47">
        <v>6.1</v>
      </c>
      <c r="B129" s="47">
        <v>3</v>
      </c>
      <c r="C129" s="47">
        <v>4.9000000000000004</v>
      </c>
      <c r="D129" s="47">
        <v>1.8</v>
      </c>
      <c r="E129" s="47" t="s">
        <v>12</v>
      </c>
      <c r="W129" s="49" t="b">
        <f t="shared" si="15"/>
        <v>1</v>
      </c>
      <c r="X129" s="49" t="b">
        <f t="shared" si="15"/>
        <v>1</v>
      </c>
      <c r="Y129" s="49" t="b">
        <f t="shared" si="15"/>
        <v>1</v>
      </c>
      <c r="Z129" s="49" t="b">
        <f t="shared" si="15"/>
        <v>1</v>
      </c>
    </row>
    <row r="130" spans="1:26">
      <c r="A130" s="47">
        <v>6.4</v>
      </c>
      <c r="B130" s="47">
        <v>2.8</v>
      </c>
      <c r="C130" s="47">
        <v>5.6</v>
      </c>
      <c r="D130" s="47">
        <v>2.1</v>
      </c>
      <c r="E130" s="47" t="s">
        <v>12</v>
      </c>
      <c r="W130" s="49" t="b">
        <f t="shared" ref="W130:Z151" si="16">AND(A130&gt;H$23, A130&lt;H$24)</f>
        <v>1</v>
      </c>
      <c r="X130" s="49" t="b">
        <f t="shared" si="16"/>
        <v>1</v>
      </c>
      <c r="Y130" s="49" t="b">
        <f t="shared" si="16"/>
        <v>1</v>
      </c>
      <c r="Z130" s="49" t="b">
        <f t="shared" si="16"/>
        <v>1</v>
      </c>
    </row>
    <row r="131" spans="1:26">
      <c r="A131" s="47">
        <v>7.2</v>
      </c>
      <c r="B131" s="47">
        <v>3</v>
      </c>
      <c r="C131" s="47">
        <v>5.8</v>
      </c>
      <c r="D131" s="47">
        <v>1.6</v>
      </c>
      <c r="E131" s="47" t="s">
        <v>12</v>
      </c>
      <c r="W131" s="49" t="b">
        <f t="shared" si="16"/>
        <v>1</v>
      </c>
      <c r="X131" s="49" t="b">
        <f t="shared" si="16"/>
        <v>1</v>
      </c>
      <c r="Y131" s="49" t="b">
        <f t="shared" si="16"/>
        <v>1</v>
      </c>
      <c r="Z131" s="49" t="b">
        <f t="shared" si="16"/>
        <v>1</v>
      </c>
    </row>
    <row r="132" spans="1:26">
      <c r="A132" s="47">
        <v>7.4</v>
      </c>
      <c r="B132" s="47">
        <v>2.8</v>
      </c>
      <c r="C132" s="47">
        <v>6.1</v>
      </c>
      <c r="D132" s="47">
        <v>1.9</v>
      </c>
      <c r="E132" s="47" t="s">
        <v>12</v>
      </c>
      <c r="W132" s="49" t="b">
        <f t="shared" si="16"/>
        <v>1</v>
      </c>
      <c r="X132" s="49" t="b">
        <f t="shared" si="16"/>
        <v>1</v>
      </c>
      <c r="Y132" s="49" t="b">
        <f t="shared" si="16"/>
        <v>1</v>
      </c>
      <c r="Z132" s="49" t="b">
        <f t="shared" si="16"/>
        <v>1</v>
      </c>
    </row>
    <row r="133" spans="1:26">
      <c r="A133" s="47">
        <v>7.9</v>
      </c>
      <c r="B133" s="47">
        <v>3.8</v>
      </c>
      <c r="C133" s="47">
        <v>6.4</v>
      </c>
      <c r="D133" s="47">
        <v>2</v>
      </c>
      <c r="E133" s="47" t="s">
        <v>12</v>
      </c>
      <c r="W133" s="49" t="b">
        <f t="shared" si="16"/>
        <v>1</v>
      </c>
      <c r="X133" s="49" t="b">
        <f t="shared" si="16"/>
        <v>1</v>
      </c>
      <c r="Y133" s="49" t="b">
        <f t="shared" si="16"/>
        <v>1</v>
      </c>
      <c r="Z133" s="49" t="b">
        <f t="shared" si="16"/>
        <v>1</v>
      </c>
    </row>
    <row r="134" spans="1:26">
      <c r="A134" s="47">
        <v>6.4</v>
      </c>
      <c r="B134" s="47">
        <v>2.8</v>
      </c>
      <c r="C134" s="47">
        <v>5.6</v>
      </c>
      <c r="D134" s="47">
        <v>2.2000000000000002</v>
      </c>
      <c r="E134" s="47" t="s">
        <v>12</v>
      </c>
      <c r="W134" s="49" t="b">
        <f t="shared" si="16"/>
        <v>1</v>
      </c>
      <c r="X134" s="49" t="b">
        <f t="shared" si="16"/>
        <v>1</v>
      </c>
      <c r="Y134" s="49" t="b">
        <f t="shared" si="16"/>
        <v>1</v>
      </c>
      <c r="Z134" s="49" t="b">
        <f t="shared" si="16"/>
        <v>1</v>
      </c>
    </row>
    <row r="135" spans="1:26">
      <c r="A135" s="47">
        <v>6.3</v>
      </c>
      <c r="B135" s="47">
        <v>2.8</v>
      </c>
      <c r="C135" s="47">
        <v>5.0999999999999996</v>
      </c>
      <c r="D135" s="47">
        <v>1.5</v>
      </c>
      <c r="E135" s="47" t="s">
        <v>12</v>
      </c>
      <c r="W135" s="49" t="b">
        <f t="shared" si="16"/>
        <v>1</v>
      </c>
      <c r="X135" s="49" t="b">
        <f t="shared" si="16"/>
        <v>1</v>
      </c>
      <c r="Y135" s="49" t="b">
        <f t="shared" si="16"/>
        <v>1</v>
      </c>
      <c r="Z135" s="49" t="b">
        <f t="shared" si="16"/>
        <v>1</v>
      </c>
    </row>
    <row r="136" spans="1:26">
      <c r="A136" s="47">
        <v>6.1</v>
      </c>
      <c r="B136" s="47">
        <v>2.6</v>
      </c>
      <c r="C136" s="47">
        <v>5.6</v>
      </c>
      <c r="D136" s="47">
        <v>1.4</v>
      </c>
      <c r="E136" s="47" t="s">
        <v>12</v>
      </c>
      <c r="W136" s="49" t="b">
        <f t="shared" si="16"/>
        <v>1</v>
      </c>
      <c r="X136" s="49" t="b">
        <f t="shared" si="16"/>
        <v>1</v>
      </c>
      <c r="Y136" s="49" t="b">
        <f t="shared" si="16"/>
        <v>1</v>
      </c>
      <c r="Z136" s="49" t="b">
        <f t="shared" si="16"/>
        <v>1</v>
      </c>
    </row>
    <row r="137" spans="1:26">
      <c r="A137" s="47">
        <v>7.7</v>
      </c>
      <c r="B137" s="47">
        <v>3</v>
      </c>
      <c r="C137" s="47">
        <v>6.1</v>
      </c>
      <c r="D137" s="47">
        <v>2.2999999999999998</v>
      </c>
      <c r="E137" s="47" t="s">
        <v>12</v>
      </c>
      <c r="W137" s="49" t="b">
        <f t="shared" si="16"/>
        <v>1</v>
      </c>
      <c r="X137" s="49" t="b">
        <f t="shared" si="16"/>
        <v>1</v>
      </c>
      <c r="Y137" s="49" t="b">
        <f t="shared" si="16"/>
        <v>1</v>
      </c>
      <c r="Z137" s="49" t="b">
        <f t="shared" si="16"/>
        <v>1</v>
      </c>
    </row>
    <row r="138" spans="1:26">
      <c r="A138" s="47">
        <v>6.3</v>
      </c>
      <c r="B138" s="47">
        <v>3.4</v>
      </c>
      <c r="C138" s="47">
        <v>5.6</v>
      </c>
      <c r="D138" s="47">
        <v>2.4</v>
      </c>
      <c r="E138" s="47" t="s">
        <v>12</v>
      </c>
      <c r="W138" s="49" t="b">
        <f t="shared" si="16"/>
        <v>1</v>
      </c>
      <c r="X138" s="49" t="b">
        <f t="shared" si="16"/>
        <v>1</v>
      </c>
      <c r="Y138" s="49" t="b">
        <f t="shared" si="16"/>
        <v>1</v>
      </c>
      <c r="Z138" s="49" t="b">
        <f t="shared" si="16"/>
        <v>1</v>
      </c>
    </row>
    <row r="139" spans="1:26">
      <c r="A139" s="47">
        <v>6.4</v>
      </c>
      <c r="B139" s="47">
        <v>3.1</v>
      </c>
      <c r="C139" s="47">
        <v>5.5</v>
      </c>
      <c r="D139" s="47">
        <v>1.8</v>
      </c>
      <c r="E139" s="47" t="s">
        <v>12</v>
      </c>
      <c r="W139" s="49" t="b">
        <f t="shared" si="16"/>
        <v>1</v>
      </c>
      <c r="X139" s="49" t="b">
        <f t="shared" si="16"/>
        <v>1</v>
      </c>
      <c r="Y139" s="49" t="b">
        <f t="shared" si="16"/>
        <v>1</v>
      </c>
      <c r="Z139" s="49" t="b">
        <f t="shared" si="16"/>
        <v>1</v>
      </c>
    </row>
    <row r="140" spans="1:26">
      <c r="A140" s="47">
        <v>6</v>
      </c>
      <c r="B140" s="47">
        <v>3</v>
      </c>
      <c r="C140" s="47">
        <v>4.8</v>
      </c>
      <c r="D140" s="47">
        <v>1.8</v>
      </c>
      <c r="E140" s="47" t="s">
        <v>12</v>
      </c>
      <c r="W140" s="49" t="b">
        <f t="shared" si="16"/>
        <v>1</v>
      </c>
      <c r="X140" s="49" t="b">
        <f t="shared" si="16"/>
        <v>1</v>
      </c>
      <c r="Y140" s="49" t="b">
        <f t="shared" si="16"/>
        <v>1</v>
      </c>
      <c r="Z140" s="49" t="b">
        <f t="shared" si="16"/>
        <v>1</v>
      </c>
    </row>
    <row r="141" spans="1:26">
      <c r="A141" s="47">
        <v>6.9</v>
      </c>
      <c r="B141" s="47">
        <v>3.1</v>
      </c>
      <c r="C141" s="47">
        <v>5.4</v>
      </c>
      <c r="D141" s="47">
        <v>2.1</v>
      </c>
      <c r="E141" s="47" t="s">
        <v>12</v>
      </c>
      <c r="W141" s="49" t="b">
        <f t="shared" si="16"/>
        <v>1</v>
      </c>
      <c r="X141" s="49" t="b">
        <f t="shared" si="16"/>
        <v>1</v>
      </c>
      <c r="Y141" s="49" t="b">
        <f t="shared" si="16"/>
        <v>1</v>
      </c>
      <c r="Z141" s="49" t="b">
        <f t="shared" si="16"/>
        <v>1</v>
      </c>
    </row>
    <row r="142" spans="1:26">
      <c r="A142" s="47">
        <v>6.7</v>
      </c>
      <c r="B142" s="47">
        <v>3.1</v>
      </c>
      <c r="C142" s="47">
        <v>5.6</v>
      </c>
      <c r="D142" s="47">
        <v>2.4</v>
      </c>
      <c r="E142" s="47" t="s">
        <v>12</v>
      </c>
      <c r="W142" s="49" t="b">
        <f t="shared" si="16"/>
        <v>1</v>
      </c>
      <c r="X142" s="49" t="b">
        <f t="shared" si="16"/>
        <v>1</v>
      </c>
      <c r="Y142" s="49" t="b">
        <f t="shared" si="16"/>
        <v>1</v>
      </c>
      <c r="Z142" s="49" t="b">
        <f t="shared" si="16"/>
        <v>1</v>
      </c>
    </row>
    <row r="143" spans="1:26">
      <c r="A143" s="47">
        <v>6.9</v>
      </c>
      <c r="B143" s="47">
        <v>3.1</v>
      </c>
      <c r="C143" s="47">
        <v>5.0999999999999996</v>
      </c>
      <c r="D143" s="47">
        <v>2.2999999999999998</v>
      </c>
      <c r="E143" s="47" t="s">
        <v>12</v>
      </c>
      <c r="W143" s="49" t="b">
        <f t="shared" si="16"/>
        <v>1</v>
      </c>
      <c r="X143" s="49" t="b">
        <f t="shared" si="16"/>
        <v>1</v>
      </c>
      <c r="Y143" s="49" t="b">
        <f t="shared" si="16"/>
        <v>1</v>
      </c>
      <c r="Z143" s="49" t="b">
        <f t="shared" si="16"/>
        <v>1</v>
      </c>
    </row>
    <row r="144" spans="1:26">
      <c r="A144" s="47">
        <v>5.8</v>
      </c>
      <c r="B144" s="47">
        <v>2.7</v>
      </c>
      <c r="C144" s="47">
        <v>5.0999999999999996</v>
      </c>
      <c r="D144" s="47">
        <v>1.9</v>
      </c>
      <c r="E144" s="47" t="s">
        <v>12</v>
      </c>
      <c r="W144" s="49" t="b">
        <f t="shared" si="16"/>
        <v>1</v>
      </c>
      <c r="X144" s="49" t="b">
        <f t="shared" si="16"/>
        <v>1</v>
      </c>
      <c r="Y144" s="49" t="b">
        <f t="shared" si="16"/>
        <v>1</v>
      </c>
      <c r="Z144" s="49" t="b">
        <f t="shared" si="16"/>
        <v>1</v>
      </c>
    </row>
    <row r="145" spans="1:26">
      <c r="A145" s="47">
        <v>6.8</v>
      </c>
      <c r="B145" s="47">
        <v>3.2</v>
      </c>
      <c r="C145" s="47">
        <v>5.9</v>
      </c>
      <c r="D145" s="47">
        <v>2.2999999999999998</v>
      </c>
      <c r="E145" s="47" t="s">
        <v>12</v>
      </c>
      <c r="W145" s="49" t="b">
        <f t="shared" si="16"/>
        <v>1</v>
      </c>
      <c r="X145" s="49" t="b">
        <f t="shared" si="16"/>
        <v>1</v>
      </c>
      <c r="Y145" s="49" t="b">
        <f t="shared" si="16"/>
        <v>1</v>
      </c>
      <c r="Z145" s="49" t="b">
        <f t="shared" si="16"/>
        <v>1</v>
      </c>
    </row>
    <row r="146" spans="1:26">
      <c r="A146" s="47">
        <v>6.7</v>
      </c>
      <c r="B146" s="47">
        <v>3.3</v>
      </c>
      <c r="C146" s="47">
        <v>5.7</v>
      </c>
      <c r="D146" s="47">
        <v>2.5</v>
      </c>
      <c r="E146" s="47" t="s">
        <v>12</v>
      </c>
      <c r="W146" s="49" t="b">
        <f t="shared" si="16"/>
        <v>1</v>
      </c>
      <c r="X146" s="49" t="b">
        <f t="shared" si="16"/>
        <v>1</v>
      </c>
      <c r="Y146" s="49" t="b">
        <f t="shared" si="16"/>
        <v>1</v>
      </c>
      <c r="Z146" s="49" t="b">
        <f t="shared" si="16"/>
        <v>1</v>
      </c>
    </row>
    <row r="147" spans="1:26">
      <c r="A147" s="47">
        <v>6.7</v>
      </c>
      <c r="B147" s="47">
        <v>3</v>
      </c>
      <c r="C147" s="47">
        <v>5.2</v>
      </c>
      <c r="D147" s="47">
        <v>2.2999999999999998</v>
      </c>
      <c r="E147" s="47" t="s">
        <v>12</v>
      </c>
      <c r="W147" s="49" t="b">
        <f t="shared" si="16"/>
        <v>1</v>
      </c>
      <c r="X147" s="49" t="b">
        <f t="shared" si="16"/>
        <v>1</v>
      </c>
      <c r="Y147" s="49" t="b">
        <f t="shared" si="16"/>
        <v>1</v>
      </c>
      <c r="Z147" s="49" t="b">
        <f t="shared" si="16"/>
        <v>1</v>
      </c>
    </row>
    <row r="148" spans="1:26">
      <c r="A148" s="47">
        <v>6.3</v>
      </c>
      <c r="B148" s="47">
        <v>2.5</v>
      </c>
      <c r="C148" s="47">
        <v>5</v>
      </c>
      <c r="D148" s="47">
        <v>1.9</v>
      </c>
      <c r="E148" s="47" t="s">
        <v>12</v>
      </c>
      <c r="W148" s="49" t="b">
        <f t="shared" si="16"/>
        <v>1</v>
      </c>
      <c r="X148" s="49" t="b">
        <f t="shared" si="16"/>
        <v>1</v>
      </c>
      <c r="Y148" s="49" t="b">
        <f t="shared" si="16"/>
        <v>1</v>
      </c>
      <c r="Z148" s="49" t="b">
        <f t="shared" si="16"/>
        <v>1</v>
      </c>
    </row>
    <row r="149" spans="1:26">
      <c r="A149" s="47">
        <v>6.5</v>
      </c>
      <c r="B149" s="47">
        <v>3</v>
      </c>
      <c r="C149" s="47">
        <v>5.2</v>
      </c>
      <c r="D149" s="47">
        <v>2</v>
      </c>
      <c r="E149" s="47" t="s">
        <v>12</v>
      </c>
      <c r="W149" s="49" t="b">
        <f t="shared" si="16"/>
        <v>1</v>
      </c>
      <c r="X149" s="49" t="b">
        <f t="shared" si="16"/>
        <v>1</v>
      </c>
      <c r="Y149" s="49" t="b">
        <f t="shared" si="16"/>
        <v>1</v>
      </c>
      <c r="Z149" s="49" t="b">
        <f t="shared" si="16"/>
        <v>1</v>
      </c>
    </row>
    <row r="150" spans="1:26">
      <c r="A150" s="47">
        <v>6.2</v>
      </c>
      <c r="B150" s="47">
        <v>3.4</v>
      </c>
      <c r="C150" s="47">
        <v>5.4</v>
      </c>
      <c r="D150" s="47">
        <v>2.2999999999999998</v>
      </c>
      <c r="E150" s="47" t="s">
        <v>12</v>
      </c>
      <c r="W150" s="49" t="b">
        <f t="shared" si="16"/>
        <v>1</v>
      </c>
      <c r="X150" s="49" t="b">
        <f t="shared" si="16"/>
        <v>1</v>
      </c>
      <c r="Y150" s="49" t="b">
        <f t="shared" si="16"/>
        <v>1</v>
      </c>
      <c r="Z150" s="49" t="b">
        <f t="shared" si="16"/>
        <v>1</v>
      </c>
    </row>
    <row r="151" spans="1:26">
      <c r="A151" s="47">
        <v>5.9</v>
      </c>
      <c r="B151" s="47">
        <v>3</v>
      </c>
      <c r="C151" s="47">
        <v>5.0999999999999996</v>
      </c>
      <c r="D151" s="47">
        <v>1.8</v>
      </c>
      <c r="E151" s="47" t="s">
        <v>12</v>
      </c>
      <c r="W151" s="49" t="b">
        <f t="shared" si="16"/>
        <v>1</v>
      </c>
      <c r="X151" s="49" t="b">
        <f t="shared" si="16"/>
        <v>1</v>
      </c>
      <c r="Y151" s="49" t="b">
        <f t="shared" si="16"/>
        <v>1</v>
      </c>
      <c r="Z151" s="49" t="b">
        <f t="shared" si="16"/>
        <v>1</v>
      </c>
    </row>
  </sheetData>
  <mergeCells count="1">
    <mergeCell ref="AA8:AB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BA4B81CFD7F47A0BDCF1CCBA79139" ma:contentTypeVersion="14" ma:contentTypeDescription="Create a new document." ma:contentTypeScope="" ma:versionID="0b8aada791da504b347f93081b35f237">
  <xsd:schema xmlns:xsd="http://www.w3.org/2001/XMLSchema" xmlns:xs="http://www.w3.org/2001/XMLSchema" xmlns:p="http://schemas.microsoft.com/office/2006/metadata/properties" xmlns:ns1="http://schemas.microsoft.com/sharepoint/v3" xmlns:ns2="06f3805b-6bb0-4474-b31b-232bfa6c35c5" xmlns:ns3="a7207868-4c20-40d5-af67-e5a7fc1dbea2" targetNamespace="http://schemas.microsoft.com/office/2006/metadata/properties" ma:root="true" ma:fieldsID="4b91b1eeae74bc15b7f4c5a1e59d6c58" ns1:_="" ns2:_="" ns3:_="">
    <xsd:import namespace="http://schemas.microsoft.com/sharepoint/v3"/>
    <xsd:import namespace="06f3805b-6bb0-4474-b31b-232bfa6c35c5"/>
    <xsd:import namespace="a7207868-4c20-40d5-af67-e5a7fc1dbe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3805b-6bb0-4474-b31b-232bfa6c3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07868-4c20-40d5-af67-e5a7fc1dbea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a7207868-4c20-40d5-af67-e5a7fc1dbea2">
      <UserInfo>
        <DisplayName/>
        <AccountId xsi:nil="true"/>
        <AccountType/>
      </UserInfo>
    </SharedWithUsers>
    <MediaLengthInSeconds xmlns="06f3805b-6bb0-4474-b31b-232bfa6c35c5" xsi:nil="true"/>
  </documentManagement>
</p:properties>
</file>

<file path=customXml/itemProps1.xml><?xml version="1.0" encoding="utf-8"?>
<ds:datastoreItem xmlns:ds="http://schemas.openxmlformats.org/officeDocument/2006/customXml" ds:itemID="{41FCB59E-4E17-4002-95D3-47FCA9C32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f3805b-6bb0-4474-b31b-232bfa6c35c5"/>
    <ds:schemaRef ds:uri="a7207868-4c20-40d5-af67-e5a7fc1dbe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4CAEB0-A3D9-4EC4-9C30-48E85BF199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79DDA5-AF84-426F-A00B-6DF2DC1790F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7207868-4c20-40d5-af67-e5a7fc1dbea2"/>
    <ds:schemaRef ds:uri="06f3805b-6bb0-4474-b31b-232bfa6c35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OneCategoricalVariable</vt:lpstr>
      <vt:lpstr>iris_Example</vt:lpstr>
      <vt:lpstr>Sheet1</vt:lpstr>
      <vt:lpstr>friends</vt:lpstr>
      <vt:lpstr>friends_Exercise</vt:lpstr>
      <vt:lpstr>OneNumericalVariable</vt:lpstr>
      <vt:lpstr>random_data</vt:lpstr>
      <vt:lpstr>no_siblings</vt:lpstr>
      <vt:lpstr>iris_centralmeasure</vt:lpstr>
      <vt:lpstr>friends!Extract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Prasanta Sathasivam</dc:creator>
  <cp:keywords/>
  <dc:description/>
  <cp:lastModifiedBy>HURUN 'AIN BINTI IDIMAZHAR</cp:lastModifiedBy>
  <cp:revision/>
  <dcterms:created xsi:type="dcterms:W3CDTF">2018-08-30T08:46:23Z</dcterms:created>
  <dcterms:modified xsi:type="dcterms:W3CDTF">2025-05-14T04:24:05Z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33556e08-a1ba-4dc3-af64-9c7d5ebba3a8</vt:lpwstr>
  </property>
  <property fmtid="{D5CDD505-2E9C-101B-9397-08002B2CF9AE}" pid="3" name="ContentTypeId">
    <vt:lpwstr>0x010100667BA4B81CFD7F47A0BDCF1CCBA79139</vt:lpwstr>
  </property>
  <property fmtid="{D5CDD505-2E9C-101B-9397-08002B2CF9AE}" pid="4" name="Order">
    <vt:r8>11393500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