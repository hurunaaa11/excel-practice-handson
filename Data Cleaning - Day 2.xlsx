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tables/table2.xml" ContentType="application/vnd.openxmlformats-officedocument.spreadsheetml.table+xml"/>
  <Override PartName="/xl/drawings/drawing11.xml" ContentType="application/vnd.openxmlformats-officedocument.drawing+xml"/>
  <Override PartName="/xl/tables/table3.xml" ContentType="application/vnd.openxmlformats-officedocument.spreadsheetml.table+xml"/>
  <Override PartName="/xl/drawings/drawing12.xml" ContentType="application/vnd.openxmlformats-officedocument.drawing+xml"/>
  <Override PartName="/xl/tables/table4.xml" ContentType="application/vnd.openxmlformats-officedocument.spreadsheetml.table+xml"/>
  <Override PartName="/xl/drawings/drawing13.xml" ContentType="application/vnd.openxmlformats-officedocument.drawing+xml"/>
  <Override PartName="/xl/tables/table5.xml" ContentType="application/vnd.openxmlformats-officedocument.spreadsheetml.table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8_{702EAAE0-4B98-4CC7-8779-88A36E8ABFC5}" xr6:coauthVersionLast="47" xr6:coauthVersionMax="47" xr10:uidLastSave="{00000000-0000-0000-0000-000000000000}"/>
  <bookViews>
    <workbookView xWindow="-108" yWindow="-108" windowWidth="23256" windowHeight="12456" firstSheet="1" activeTab="2" xr2:uid="{FBEE0547-C1DD-4B7A-A3EB-2BA1446463BC}"/>
  </bookViews>
  <sheets>
    <sheet name="Copyright" sheetId="5" r:id="rId1"/>
    <sheet name="Data" sheetId="10" r:id="rId2"/>
    <sheet name="Data (2)" sheetId="26" r:id="rId3"/>
    <sheet name="AutoFit" sheetId="25" r:id="rId4"/>
    <sheet name="Remove Duplicates" sheetId="12" r:id="rId5"/>
    <sheet name="Trim Extra Spaces" sheetId="13" r:id="rId6"/>
    <sheet name="Eliminate Blank Cells" sheetId="14" r:id="rId7"/>
    <sheet name="Spell Check" sheetId="15" r:id="rId8"/>
    <sheet name="Data Validation" sheetId="18" r:id="rId9"/>
    <sheet name="Table" sheetId="19" r:id="rId10"/>
    <sheet name="IFERROR" sheetId="21" r:id="rId11"/>
    <sheet name="Number Format" sheetId="22" r:id="rId12"/>
    <sheet name="Find &amp; Replace" sheetId="23" r:id="rId13"/>
    <sheet name="More Resources" sheetId="1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6" l="1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" i="26"/>
  <c r="H31" i="26"/>
  <c r="I10" i="13"/>
  <c r="I11" i="13"/>
  <c r="I12" i="13"/>
  <c r="I13" i="13"/>
  <c r="I14" i="13"/>
  <c r="I19" i="13"/>
  <c r="I3" i="13"/>
  <c r="I15" i="13"/>
  <c r="I16" i="13"/>
  <c r="I17" i="13"/>
  <c r="I18" i="13"/>
  <c r="H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3" i="23"/>
  <c r="H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5" i="22"/>
  <c r="I4" i="22"/>
  <c r="I3" i="22"/>
  <c r="I31" i="22" s="1"/>
  <c r="I31" i="21"/>
  <c r="H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I3" i="21"/>
  <c r="H31" i="19"/>
  <c r="I4" i="13"/>
  <c r="I5" i="13"/>
  <c r="I6" i="13"/>
  <c r="I7" i="13"/>
  <c r="I8" i="13"/>
  <c r="I9" i="13"/>
  <c r="I20" i="13"/>
  <c r="I21" i="13"/>
  <c r="I22" i="13"/>
  <c r="I23" i="13"/>
  <c r="I24" i="13"/>
  <c r="I25" i="13"/>
  <c r="I26" i="13"/>
  <c r="I27" i="13"/>
  <c r="I28" i="13"/>
  <c r="I29" i="13"/>
  <c r="I30" i="13"/>
  <c r="I31" i="23" l="1"/>
</calcChain>
</file>

<file path=xl/sharedStrings.xml><?xml version="1.0" encoding="utf-8"?>
<sst xmlns="http://schemas.openxmlformats.org/spreadsheetml/2006/main" count="1607" uniqueCount="157">
  <si>
    <t>Copyright Notice</t>
  </si>
  <si>
    <t xml:space="preserve"> </t>
  </si>
  <si>
    <t>The content in this file was created by Mynda Treacy from My Online Training Hub.</t>
  </si>
  <si>
    <t>Individual users are permitted to recreate the examples for personal practice only.</t>
  </si>
  <si>
    <r>
      <t xml:space="preserve">Recreating the examples for training or demonstration to others is </t>
    </r>
    <r>
      <rPr>
        <b/>
        <sz val="14"/>
        <rFont val="Calibri"/>
        <family val="2"/>
        <scheme val="minor"/>
      </rPr>
      <t>not permitted</t>
    </r>
    <r>
      <rPr>
        <sz val="14"/>
        <rFont val="Calibri"/>
        <family val="2"/>
        <scheme val="minor"/>
      </rPr>
      <t>, unless written consent is granted by Mynda Treacy.</t>
    </r>
  </si>
  <si>
    <t>The workbook and any sheets within must be accompanied by the following copyright notice: My Online Training Hub ©.</t>
  </si>
  <si>
    <t>This sheet must remain in any file that uses this data and or these techniques.</t>
  </si>
  <si>
    <t>Any uses of this workbook and/or data must include the above attribution.</t>
  </si>
  <si>
    <t>Social Channels</t>
  </si>
  <si>
    <t>Dataset</t>
  </si>
  <si>
    <t>Date</t>
  </si>
  <si>
    <t>ID</t>
  </si>
  <si>
    <t>Name</t>
  </si>
  <si>
    <t>Region</t>
  </si>
  <si>
    <t>Rating</t>
  </si>
  <si>
    <t>Product</t>
  </si>
  <si>
    <t>Quantity</t>
  </si>
  <si>
    <t>Price Per Unit</t>
  </si>
  <si>
    <t xml:space="preserve">John Smith   </t>
  </si>
  <si>
    <t>North</t>
  </si>
  <si>
    <t>Good</t>
  </si>
  <si>
    <t>Magic Wand</t>
  </si>
  <si>
    <t>Jane Doe</t>
  </si>
  <si>
    <t>East</t>
  </si>
  <si>
    <t>Excelent</t>
  </si>
  <si>
    <t>Unicorn Horn</t>
  </si>
  <si>
    <t>Mike   Tyson</t>
  </si>
  <si>
    <t>West</t>
  </si>
  <si>
    <t>Poor</t>
  </si>
  <si>
    <t>Boxing Gloves</t>
  </si>
  <si>
    <t>inf</t>
  </si>
  <si>
    <t>Anna   Belle</t>
  </si>
  <si>
    <t>South</t>
  </si>
  <si>
    <t>Average</t>
  </si>
  <si>
    <t>Fairy Dust</t>
  </si>
  <si>
    <t>Chris P. Bacon</t>
  </si>
  <si>
    <t>Bacon Scented Candle</t>
  </si>
  <si>
    <t>Peter   Parker</t>
  </si>
  <si>
    <t>Web Shooter</t>
  </si>
  <si>
    <t>Mary Jane</t>
  </si>
  <si>
    <t>Potent Potion</t>
  </si>
  <si>
    <t>Bruce Wayne</t>
  </si>
  <si>
    <t>Bat Signal</t>
  </si>
  <si>
    <t>Clark Kent</t>
  </si>
  <si>
    <t>Glasses with X-ray Vision</t>
  </si>
  <si>
    <t>Diana Prince</t>
  </si>
  <si>
    <t>Lasso of Truth</t>
  </si>
  <si>
    <t>Tony Stark</t>
  </si>
  <si>
    <t>Iron Man Suit</t>
  </si>
  <si>
    <t>Steve Rogers</t>
  </si>
  <si>
    <t>Captain America Shield</t>
  </si>
  <si>
    <t>Natasha Romanoff</t>
  </si>
  <si>
    <t>Black Widow's Bite</t>
  </si>
  <si>
    <t>Bruce Banner</t>
  </si>
  <si>
    <t>Gamma Radiation Serum</t>
  </si>
  <si>
    <t>Nick Fury</t>
  </si>
  <si>
    <t>Eye Patch</t>
  </si>
  <si>
    <t>Phil Coulson</t>
  </si>
  <si>
    <t>Agent ID Card</t>
  </si>
  <si>
    <t>Peggy Carter</t>
  </si>
  <si>
    <t>Vintage Pistol</t>
  </si>
  <si>
    <t>Howard Stark</t>
  </si>
  <si>
    <t>Arc Reactor</t>
  </si>
  <si>
    <t>Hank Pym</t>
  </si>
  <si>
    <t>Ant-Man Suit</t>
  </si>
  <si>
    <t>Janet van Dyne</t>
  </si>
  <si>
    <t>Wasp's Wings</t>
  </si>
  <si>
    <t>Kurt Busiek</t>
  </si>
  <si>
    <t>Comic Book</t>
  </si>
  <si>
    <t>George Perez</t>
  </si>
  <si>
    <t>Drawing Pad</t>
  </si>
  <si>
    <t>Roger Stern</t>
  </si>
  <si>
    <t>Notepads</t>
  </si>
  <si>
    <t>Tom DeFalco</t>
  </si>
  <si>
    <t>Pen Set</t>
  </si>
  <si>
    <t>Loki Laufeyson</t>
  </si>
  <si>
    <t>Asgard</t>
  </si>
  <si>
    <t>Mischief</t>
  </si>
  <si>
    <t>Trickster's Hat</t>
  </si>
  <si>
    <t>Thor Odinson</t>
  </si>
  <si>
    <t>Worthy</t>
  </si>
  <si>
    <t>Mjolnir</t>
  </si>
  <si>
    <t>Spy</t>
  </si>
  <si>
    <t>Spy Kit</t>
  </si>
  <si>
    <t>Leader</t>
  </si>
  <si>
    <t>Leadership Manual</t>
  </si>
  <si>
    <t>AutoFit Rows &amp; Columns</t>
  </si>
  <si>
    <t>Remove Duplicates</t>
  </si>
  <si>
    <t>Trim Extra Spaces</t>
  </si>
  <si>
    <t>Trimmed Name</t>
  </si>
  <si>
    <t>Eliminate Blank Cells</t>
  </si>
  <si>
    <t>John Smith</t>
  </si>
  <si>
    <t>Mike Tyson</t>
  </si>
  <si>
    <t>Anna Belle</t>
  </si>
  <si>
    <t>Peter Parker</t>
  </si>
  <si>
    <t>TBA</t>
  </si>
  <si>
    <t>Spell Check</t>
  </si>
  <si>
    <t>Excellent</t>
  </si>
  <si>
    <t>Data Validation</t>
  </si>
  <si>
    <t>Use Excel Tables</t>
  </si>
  <si>
    <t>Total</t>
  </si>
  <si>
    <t>Use IFERROR</t>
  </si>
  <si>
    <t>Sales</t>
  </si>
  <si>
    <t>Number Formats</t>
  </si>
  <si>
    <t>Find &amp; Replace</t>
  </si>
  <si>
    <t>More Resources</t>
  </si>
  <si>
    <t>Tutorials</t>
  </si>
  <si>
    <t>Excel Functions</t>
  </si>
  <si>
    <t>https://www.myonlinetraininghub.com/excel-functions</t>
  </si>
  <si>
    <t>Charting Blog Posts</t>
  </si>
  <si>
    <t>https://www.myonlinetraininghub.com/category/excel-charts</t>
  </si>
  <si>
    <t>Excel Dashboard Blog Posts</t>
  </si>
  <si>
    <t>https://www.myonlinetraininghub.com/category/excel-dashboard</t>
  </si>
  <si>
    <t>Webinar Replays</t>
  </si>
  <si>
    <t>Excel Dashboards &amp; Power BI</t>
  </si>
  <si>
    <t>https://www.myonlinetraininghub.com/excel-webinars</t>
  </si>
  <si>
    <t>Courses</t>
  </si>
  <si>
    <t>Advanced Excel</t>
  </si>
  <si>
    <t>https://www.myonlinetraininghub.com/excel-expert-upgrade</t>
  </si>
  <si>
    <t>Advanced Excel Formulas</t>
  </si>
  <si>
    <t>https://www.myonlinetraininghub.com/advanced-excel-formulas-course</t>
  </si>
  <si>
    <t>Power Query</t>
  </si>
  <si>
    <t>https://www.myonlinetraininghub.com/excel-power-query-course</t>
  </si>
  <si>
    <t>PivotTable Quick Start</t>
  </si>
  <si>
    <t>https://www.myonlinetraininghub.com/excel-pivottable-course-quick-start</t>
  </si>
  <si>
    <t>Xtreme PivotTables</t>
  </si>
  <si>
    <t>https://www.myonlinetraininghub.com/excel-pivottable-course</t>
  </si>
  <si>
    <t>Power Pivot</t>
  </si>
  <si>
    <t>https://www.myonlinetraininghub.com/power-pivot-course</t>
  </si>
  <si>
    <t>Excel Dashboards</t>
  </si>
  <si>
    <t>https://www.myonlinetraininghub.com/excel-dashboard-course</t>
  </si>
  <si>
    <t>Power BI</t>
  </si>
  <si>
    <t>https://www.myonlinetraininghub.com/power-bi-course</t>
  </si>
  <si>
    <t>Excel for Decision Making Under Uncertainty</t>
  </si>
  <si>
    <t>https://www.myonlinetraininghub.com/excel-for-decision-making-course</t>
  </si>
  <si>
    <t>Excel for Finance Professionals</t>
  </si>
  <si>
    <t>https://www.myonlinetraininghub.com/excel-for-finance-course</t>
  </si>
  <si>
    <t>Excel Analysis ToolPak</t>
  </si>
  <si>
    <t>https://www.myonlinetraininghub.com/excel-analysis-toolpak-course</t>
  </si>
  <si>
    <t>Excel for Customer Service Professionals</t>
  </si>
  <si>
    <t>https://www.myonlinetraininghub.com/excel-for-customer-service-professionals</t>
  </si>
  <si>
    <t>Excel for Operations Management</t>
  </si>
  <si>
    <t>https://www.myonlinetraininghub.com/excel-operations-management-course</t>
  </si>
  <si>
    <t>Financial Modelling</t>
  </si>
  <si>
    <t>https://www.myonlinetraininghub.com/financial-modelling-course</t>
  </si>
  <si>
    <t>Support</t>
  </si>
  <si>
    <t>Excel Forum</t>
  </si>
  <si>
    <t>https://www.myonlinetraininghub.com/excel-forum</t>
  </si>
  <si>
    <t>Follow Us or more Tips &amp; Tutorials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</si>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</sst>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@*.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28"/>
      <color theme="0"/>
      <name val="Segoe UI Light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551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11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 indent="1"/>
    </xf>
    <xf numFmtId="0" fontId="2" fillId="0" borderId="0" xfId="1"/>
    <xf numFmtId="0" fontId="4" fillId="0" borderId="0" xfId="0" applyFont="1"/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3" fillId="2" borderId="0" xfId="0" applyFont="1" applyFill="1"/>
    <xf numFmtId="0" fontId="7" fillId="0" borderId="0" xfId="0" applyFont="1" applyAlignment="1">
      <alignment horizontal="left" vertical="top"/>
    </xf>
    <xf numFmtId="22" fontId="8" fillId="0" borderId="0" xfId="0" applyNumberFormat="1" applyFont="1"/>
    <xf numFmtId="0" fontId="8" fillId="0" borderId="0" xfId="0" applyFont="1"/>
    <xf numFmtId="8" fontId="8" fillId="0" borderId="0" xfId="0" applyNumberFormat="1" applyFont="1"/>
    <xf numFmtId="0" fontId="7" fillId="0" borderId="0" xfId="0" applyFont="1"/>
    <xf numFmtId="0" fontId="9" fillId="0" borderId="0" xfId="0" applyFont="1" applyAlignment="1">
      <alignment vertical="top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 vertical="top"/>
    </xf>
    <xf numFmtId="22" fontId="8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8" fontId="8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8" fontId="10" fillId="0" borderId="0" xfId="0" applyNumberFormat="1" applyFont="1" applyAlignment="1">
      <alignment vertical="top"/>
    </xf>
    <xf numFmtId="0" fontId="6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4" fontId="6" fillId="2" borderId="0" xfId="0" applyNumberFormat="1" applyFont="1" applyFill="1" applyAlignment="1">
      <alignment vertical="center"/>
    </xf>
    <xf numFmtId="4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horizontal="left" vertical="top"/>
    </xf>
    <xf numFmtId="4" fontId="8" fillId="0" borderId="0" xfId="0" applyNumberFormat="1" applyFont="1" applyAlignment="1">
      <alignment vertical="top"/>
    </xf>
    <xf numFmtId="4" fontId="10" fillId="0" borderId="0" xfId="0" applyNumberFormat="1" applyFont="1" applyAlignment="1">
      <alignment vertical="top"/>
    </xf>
    <xf numFmtId="4" fontId="0" fillId="0" borderId="0" xfId="0" applyNumberFormat="1"/>
    <xf numFmtId="14" fontId="9" fillId="0" borderId="0" xfId="0" applyNumberFormat="1" applyFont="1" applyAlignment="1">
      <alignment horizontal="left" vertical="top"/>
    </xf>
    <xf numFmtId="14" fontId="6" fillId="2" borderId="0" xfId="0" applyNumberFormat="1" applyFont="1" applyFill="1" applyAlignment="1">
      <alignment horizontal="left" vertical="center"/>
    </xf>
    <xf numFmtId="14" fontId="8" fillId="0" borderId="0" xfId="0" applyNumberFormat="1" applyFont="1" applyAlignment="1">
      <alignment horizontal="left" vertical="top"/>
    </xf>
    <xf numFmtId="14" fontId="0" fillId="0" borderId="0" xfId="0" applyNumberFormat="1" applyAlignment="1">
      <alignment horizontal="left"/>
    </xf>
    <xf numFmtId="14" fontId="8" fillId="0" borderId="0" xfId="0" applyNumberFormat="1" applyFont="1"/>
    <xf numFmtId="14" fontId="0" fillId="0" borderId="0" xfId="0" applyNumberFormat="1"/>
    <xf numFmtId="14" fontId="8" fillId="0" borderId="0" xfId="0" applyNumberFormat="1" applyFont="1" applyAlignment="1">
      <alignment horizontal="right" vertical="top"/>
    </xf>
    <xf numFmtId="14" fontId="6" fillId="2" borderId="0" xfId="0" applyNumberFormat="1" applyFont="1" applyFill="1" applyAlignment="1">
      <alignment vertical="center"/>
    </xf>
    <xf numFmtId="14" fontId="7" fillId="0" borderId="0" xfId="0" applyNumberFormat="1" applyFont="1" applyAlignment="1">
      <alignment horizontal="left" vertical="top"/>
    </xf>
    <xf numFmtId="0" fontId="6" fillId="2" borderId="0" xfId="2" applyNumberFormat="1" applyFont="1" applyFill="1" applyAlignment="1">
      <alignment vertical="center"/>
    </xf>
    <xf numFmtId="0" fontId="7" fillId="0" borderId="0" xfId="2" applyNumberFormat="1" applyFont="1" applyAlignment="1">
      <alignment horizontal="left" vertical="top"/>
    </xf>
    <xf numFmtId="0" fontId="8" fillId="0" borderId="0" xfId="2" applyNumberFormat="1" applyFont="1"/>
    <xf numFmtId="0" fontId="0" fillId="0" borderId="0" xfId="2" applyNumberFormat="1" applyFont="1"/>
  </cellXfs>
  <cellStyles count="3">
    <cellStyle name="Comma" xfId="2" builtinId="3"/>
    <cellStyle name="Hyperlink" xfId="1" builtinId="8"/>
    <cellStyle name="Normal" xfId="0" builtinId="0"/>
  </cellStyles>
  <dxfs count="108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theme="0"/>
        <name val="Segoe UI Light"/>
        <family val="2"/>
        <scheme val="none"/>
      </font>
      <fill>
        <patternFill patternType="solid">
          <fgColor indexed="64"/>
          <bgColor rgb="FF0F551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m/d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m/d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m/d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m/d/yyyy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7" formatCode="m/d/yyyy\ h:mm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7" formatCode="m/d/yyyy\ h:mm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www.myonlinetraininghub.com/" TargetMode="Externa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openxmlformats.org/officeDocument/2006/relationships/hyperlink" Target="https://www.myonlinetraininghub.com/how-to-clean-data-in-excel" TargetMode="Externa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https://youtu.be/oT4emh72fuA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openxmlformats.org/officeDocument/2006/relationships/hyperlink" Target="https://www.myonlinetraininghub.com/how-to-clean-data-in-excel" TargetMode="Externa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https://youtu.be/oT4emh72fuA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youtu.be/oT4emh72fuA" TargetMode="External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hyperlink" Target="https://www.myonlinetraininghub.com/how-to-clean-data-in-excel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youtu.be/oT4emh72fuA" TargetMode="External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hyperlink" Target="https://www.myonlinetraininghub.com/how-to-clean-data-in-excel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youtu.be/oT4emh72fuA" TargetMode="External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hyperlink" Target="https://www.myonlinetraininghub.com/how-to-clean-data-in-excel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youtu.be/oT4emh72fuA" TargetMode="External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hyperlink" Target="https://www.myonlinetraininghub.com/how-to-clean-data-in-excel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youtu.be/oT4emh72fuA" TargetMode="External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hyperlink" Target="https://www.myonlinetraininghub.com/how-to-clean-data-in-excel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youtu.be/oT4emh72fuA" TargetMode="External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hyperlink" Target="https://www.myonlinetraininghub.com/how-to-clean-data-in-excel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youtu.be/oT4emh72fuA" TargetMode="External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hyperlink" Target="https://www.myonlinetraininghub.com/how-to-clean-data-in-excel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youtu.be/oT4emh72fuA" TargetMode="External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hyperlink" Target="https://www.myonlinetraininghub.com/how-to-clean-data-in-excel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youtu.be/oT4emh72fuA" TargetMode="External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hyperlink" Target="https://www.myonlinetraininghub.com/how-to-clean-data-in-excel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youtu.be/oT4emh72fuA" TargetMode="External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hyperlink" Target="https://www.myonlinetraininghub.com/how-to-clean-data-in-excel" TargetMode="Externa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mynda.treacy/" TargetMode="External"/><Relationship Id="rId13" Type="http://schemas.openxmlformats.org/officeDocument/2006/relationships/image" Target="../media/image9.png"/><Relationship Id="rId3" Type="http://schemas.openxmlformats.org/officeDocument/2006/relationships/image" Target="../media/image2.svg"/><Relationship Id="rId7" Type="http://schemas.openxmlformats.org/officeDocument/2006/relationships/image" Target="../media/image4.png"/><Relationship Id="rId12" Type="http://schemas.openxmlformats.org/officeDocument/2006/relationships/hyperlink" Target="https://www.tiktok.com/@myndatreacy" TargetMode="External"/><Relationship Id="rId1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hyperlink" Target="https://twitter.com/OnlineTrainingH" TargetMode="External"/><Relationship Id="rId1" Type="http://schemas.openxmlformats.org/officeDocument/2006/relationships/hyperlink" Target="https://www.myonlinetraininghub.com/" TargetMode="External"/><Relationship Id="rId6" Type="http://schemas.openxmlformats.org/officeDocument/2006/relationships/hyperlink" Target="https://www.linkedin.com/in/myndatreacy/" TargetMode="External"/><Relationship Id="rId11" Type="http://schemas.openxmlformats.org/officeDocument/2006/relationships/image" Target="../media/image8.png"/><Relationship Id="rId5" Type="http://schemas.openxmlformats.org/officeDocument/2006/relationships/image" Target="../media/image3.png"/><Relationship Id="rId15" Type="http://schemas.openxmlformats.org/officeDocument/2006/relationships/image" Target="../media/image10.png"/><Relationship Id="rId10" Type="http://schemas.openxmlformats.org/officeDocument/2006/relationships/hyperlink" Target="https://www.pinterest.com.au/myndatreacy/" TargetMode="External"/><Relationship Id="rId4" Type="http://schemas.openxmlformats.org/officeDocument/2006/relationships/hyperlink" Target="https://www.youtube.com/user/MyOnlineTrainingHub" TargetMode="External"/><Relationship Id="rId9" Type="http://schemas.openxmlformats.org/officeDocument/2006/relationships/image" Target="../media/image7.png"/><Relationship Id="rId14" Type="http://schemas.openxmlformats.org/officeDocument/2006/relationships/hyperlink" Target="https://www.facebook.com/MyOnlineTrainingHub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428625</xdr:colOff>
      <xdr:row>0</xdr:row>
      <xdr:rowOff>85725</xdr:rowOff>
    </xdr:from>
    <xdr:ext cx="3705377" cy="504824"/>
    <xdr:pic>
      <xdr:nvPicPr>
        <xdr:cNvPr id="3" name="my-online-training-hub-logo-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8A69EB-FC7B-406A-9433-D6766A233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238875" y="85725"/>
          <a:ext cx="3705377" cy="504824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11</xdr:row>
      <xdr:rowOff>0</xdr:rowOff>
    </xdr:to>
    <xdr:pic>
      <xdr:nvPicPr>
        <xdr:cNvPr id="2" name="Picture 1" descr="YouTube Channel">
          <a:extLst>
            <a:ext uri="{FF2B5EF4-FFF2-40B4-BE49-F238E27FC236}">
              <a16:creationId xmlns:a16="http://schemas.microsoft.com/office/drawing/2014/main" id="{D3EAB3B2-8E9F-2873-E52B-CA50C6E4A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143250"/>
          <a:ext cx="6096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11</xdr:row>
      <xdr:rowOff>0</xdr:rowOff>
    </xdr:to>
    <xdr:pic>
      <xdr:nvPicPr>
        <xdr:cNvPr id="4" name="Picture 3" descr="LinkedIn Profile">
          <a:extLst>
            <a:ext uri="{FF2B5EF4-FFF2-40B4-BE49-F238E27FC236}">
              <a16:creationId xmlns:a16="http://schemas.microsoft.com/office/drawing/2014/main" id="{BBC772A7-4575-1821-E4F7-0B92876BF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143250"/>
          <a:ext cx="6096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323850</xdr:colOff>
      <xdr:row>0</xdr:row>
      <xdr:rowOff>142874</xdr:rowOff>
    </xdr:from>
    <xdr:to>
      <xdr:col>5</xdr:col>
      <xdr:colOff>438150</xdr:colOff>
      <xdr:row>0</xdr:row>
      <xdr:rowOff>438149</xdr:rowOff>
    </xdr:to>
    <xdr:grpSp>
      <xdr:nvGrpSpPr>
        <xdr:cNvPr id="11" name="Group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C075F2-7FE7-446B-AFB1-34E9CA12D474}"/>
            </a:ext>
          </a:extLst>
        </xdr:cNvPr>
        <xdr:cNvGrpSpPr/>
      </xdr:nvGrpSpPr>
      <xdr:grpSpPr>
        <a:xfrm>
          <a:off x="3440430" y="142874"/>
          <a:ext cx="118872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D9D104E3-B1E7-7D9D-909E-E078B885B935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4B6F0F25-CDC6-2AE4-3467-1856FFF698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  <xdr:twoCellAnchor editAs="absolute">
    <xdr:from>
      <xdr:col>5</xdr:col>
      <xdr:colOff>581024</xdr:colOff>
      <xdr:row>0</xdr:row>
      <xdr:rowOff>142874</xdr:rowOff>
    </xdr:from>
    <xdr:to>
      <xdr:col>6</xdr:col>
      <xdr:colOff>380999</xdr:colOff>
      <xdr:row>0</xdr:row>
      <xdr:rowOff>438149</xdr:rowOff>
    </xdr:to>
    <xdr:grpSp>
      <xdr:nvGrpSpPr>
        <xdr:cNvPr id="14" name="Group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9032960-29B9-4A9C-AE87-F8E74B195ED3}"/>
            </a:ext>
          </a:extLst>
        </xdr:cNvPr>
        <xdr:cNvGrpSpPr/>
      </xdr:nvGrpSpPr>
      <xdr:grpSpPr>
        <a:xfrm>
          <a:off x="4772024" y="142874"/>
          <a:ext cx="1407795" cy="295275"/>
          <a:chOff x="5400674" y="152400"/>
          <a:chExt cx="1362075" cy="295275"/>
        </a:xfrm>
      </xdr:grpSpPr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D18B3811-8CEC-55B5-14A7-78D970AB414A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25FD29AB-C839-CF01-C258-CC38EB7FDCA6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17" name="Rectangle: Rounded Corners 16">
              <a:extLst>
                <a:ext uri="{FF2B5EF4-FFF2-40B4-BE49-F238E27FC236}">
                  <a16:creationId xmlns:a16="http://schemas.microsoft.com/office/drawing/2014/main" id="{65D0D6BF-7D59-CC0F-107C-B400FD2B1A9F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18" name="Isosceles Triangle 17">
              <a:extLst>
                <a:ext uri="{FF2B5EF4-FFF2-40B4-BE49-F238E27FC236}">
                  <a16:creationId xmlns:a16="http://schemas.microsoft.com/office/drawing/2014/main" id="{429F8150-91A8-7425-2661-48180CE83A3B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7</xdr:col>
      <xdr:colOff>323697</xdr:colOff>
      <xdr:row>0</xdr:row>
      <xdr:rowOff>38100</xdr:rowOff>
    </xdr:from>
    <xdr:to>
      <xdr:col>13</xdr:col>
      <xdr:colOff>95249</xdr:colOff>
      <xdr:row>0</xdr:row>
      <xdr:rowOff>542924</xdr:rowOff>
    </xdr:to>
    <xdr:pic>
      <xdr:nvPicPr>
        <xdr:cNvPr id="19" name="my-online-training-hub-logo-2">
          <a:extLst>
            <a:ext uri="{FF2B5EF4-FFF2-40B4-BE49-F238E27FC236}">
              <a16:creationId xmlns:a16="http://schemas.microsoft.com/office/drawing/2014/main" id="{22830B8F-39CE-4DCC-B461-D9A49909A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506730</xdr:colOff>
      <xdr:row>0</xdr:row>
      <xdr:rowOff>142874</xdr:rowOff>
    </xdr:from>
    <xdr:to>
      <xdr:col>3</xdr:col>
      <xdr:colOff>87630</xdr:colOff>
      <xdr:row>0</xdr:row>
      <xdr:rowOff>438149</xdr:rowOff>
    </xdr:to>
    <xdr:grpSp>
      <xdr:nvGrpSpPr>
        <xdr:cNvPr id="2" name="Group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465E9D-CCAD-48A8-8FE0-6F8246B5FE84}"/>
            </a:ext>
          </a:extLst>
        </xdr:cNvPr>
        <xdr:cNvGrpSpPr/>
      </xdr:nvGrpSpPr>
      <xdr:grpSpPr>
        <a:xfrm>
          <a:off x="3440430" y="142874"/>
          <a:ext cx="1188720" cy="295275"/>
          <a:chOff x="4486275" y="142875"/>
          <a:chExt cx="1162050" cy="295275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E0002D70-BA2B-ECEC-7889-829915AF24CC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4" name="Graphic 3" descr="Document">
            <a:extLst>
              <a:ext uri="{FF2B5EF4-FFF2-40B4-BE49-F238E27FC236}">
                <a16:creationId xmlns:a16="http://schemas.microsoft.com/office/drawing/2014/main" id="{12CC8FB1-3790-742A-B959-3ACDAFCB3F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  <xdr:twoCellAnchor editAs="absolute">
    <xdr:from>
      <xdr:col>3</xdr:col>
      <xdr:colOff>230504</xdr:colOff>
      <xdr:row>0</xdr:row>
      <xdr:rowOff>142874</xdr:rowOff>
    </xdr:from>
    <xdr:to>
      <xdr:col>4</xdr:col>
      <xdr:colOff>30479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6F0E994-37B0-48C0-B22D-FB282781451F}"/>
            </a:ext>
          </a:extLst>
        </xdr:cNvPr>
        <xdr:cNvGrpSpPr/>
      </xdr:nvGrpSpPr>
      <xdr:grpSpPr>
        <a:xfrm>
          <a:off x="4772024" y="142874"/>
          <a:ext cx="1407795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FF5BF558-5C72-464A-CCCD-FC56C6466655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25D36B07-D088-431D-57DD-FC75A4A1C140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DD97D250-44F9-C7F7-9885-54A4C76CD33C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5B97D374-D5DD-DA8E-223D-F2BE97AB5109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4</xdr:col>
      <xdr:colOff>567537</xdr:colOff>
      <xdr:row>0</xdr:row>
      <xdr:rowOff>38100</xdr:rowOff>
    </xdr:from>
    <xdr:to>
      <xdr:col>6</xdr:col>
      <xdr:colOff>1078229</xdr:colOff>
      <xdr:row>1</xdr:row>
      <xdr:rowOff>40004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589F0020-C9C6-4ACE-AEF9-B8A61F867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716877" y="38100"/>
          <a:ext cx="3733952" cy="5048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276224</xdr:colOff>
      <xdr:row>0</xdr:row>
      <xdr:rowOff>142874</xdr:rowOff>
    </xdr:from>
    <xdr:to>
      <xdr:col>8</xdr:col>
      <xdr:colOff>171449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8A519-433A-4D3E-BF3F-1E95A3B5FB3C}"/>
            </a:ext>
          </a:extLst>
        </xdr:cNvPr>
        <xdr:cNvGrpSpPr/>
      </xdr:nvGrpSpPr>
      <xdr:grpSpPr>
        <a:xfrm>
          <a:off x="5396864" y="142874"/>
          <a:ext cx="1403985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8C08C762-A107-E9AD-BD94-15ACD4845A98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5474A91F-0178-F3CC-281A-75F97480D235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71E98E45-2254-4FD1-7383-E60ABBC54902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6916E569-5F9B-81A2-0D9C-024E15800A46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9</xdr:col>
      <xdr:colOff>85572</xdr:colOff>
      <xdr:row>0</xdr:row>
      <xdr:rowOff>38100</xdr:rowOff>
    </xdr:from>
    <xdr:to>
      <xdr:col>15</xdr:col>
      <xdr:colOff>133349</xdr:colOff>
      <xdr:row>0</xdr:row>
      <xdr:rowOff>542924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F4F00D8A-E592-47D1-993C-2EC5F053F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143597" y="38100"/>
          <a:ext cx="3705377" cy="504824"/>
        </a:xfrm>
        <a:prstGeom prst="rect">
          <a:avLst/>
        </a:prstGeom>
      </xdr:spPr>
    </xdr:pic>
    <xdr:clientData/>
  </xdr:twoCellAnchor>
  <xdr:twoCellAnchor editAs="absolute">
    <xdr:from>
      <xdr:col>5</xdr:col>
      <xdr:colOff>523875</xdr:colOff>
      <xdr:row>0</xdr:row>
      <xdr:rowOff>133350</xdr:rowOff>
    </xdr:from>
    <xdr:to>
      <xdr:col>6</xdr:col>
      <xdr:colOff>123825</xdr:colOff>
      <xdr:row>0</xdr:row>
      <xdr:rowOff>428625</xdr:rowOff>
    </xdr:to>
    <xdr:grpSp>
      <xdr:nvGrpSpPr>
        <xdr:cNvPr id="11" name="Group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5EB16A4-66F9-4FF3-AEF5-BE324F7C2CAE}"/>
            </a:ext>
          </a:extLst>
        </xdr:cNvPr>
        <xdr:cNvGrpSpPr/>
      </xdr:nvGrpSpPr>
      <xdr:grpSpPr>
        <a:xfrm>
          <a:off x="4036695" y="133350"/>
          <a:ext cx="120777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3940C3D5-4F3F-94EB-886E-777C620EECA4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FBD501F5-FE3B-C754-B5DE-E1DD4D03D6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1171574</xdr:colOff>
      <xdr:row>0</xdr:row>
      <xdr:rowOff>142874</xdr:rowOff>
    </xdr:from>
    <xdr:to>
      <xdr:col>7</xdr:col>
      <xdr:colOff>390524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B8E0D7-AF85-4D0D-869E-0EF3F8E7E56F}"/>
            </a:ext>
          </a:extLst>
        </xdr:cNvPr>
        <xdr:cNvGrpSpPr/>
      </xdr:nvGrpSpPr>
      <xdr:grpSpPr>
        <a:xfrm>
          <a:off x="4752974" y="142874"/>
          <a:ext cx="1421130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92FBEBBC-A562-23FC-0FDA-5FB62D03F55B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8DD19EA6-76E0-A7C0-6E7B-70B162A839B5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CCE0051E-5715-89C8-6045-B2327A35712D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809F2D62-C1AA-94A9-A321-AB381AB9C68A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8</xdr:col>
      <xdr:colOff>28422</xdr:colOff>
      <xdr:row>0</xdr:row>
      <xdr:rowOff>38100</xdr:rowOff>
    </xdr:from>
    <xdr:to>
      <xdr:col>14</xdr:col>
      <xdr:colOff>76199</xdr:colOff>
      <xdr:row>0</xdr:row>
      <xdr:rowOff>542924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679EAE36-E03A-47A4-A275-EC3E64515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</xdr:spPr>
    </xdr:pic>
    <xdr:clientData/>
  </xdr:twoCellAnchor>
  <xdr:twoCellAnchor editAs="absolute">
    <xdr:from>
      <xdr:col>4</xdr:col>
      <xdr:colOff>485775</xdr:colOff>
      <xdr:row>0</xdr:row>
      <xdr:rowOff>142875</xdr:rowOff>
    </xdr:from>
    <xdr:to>
      <xdr:col>5</xdr:col>
      <xdr:colOff>1076325</xdr:colOff>
      <xdr:row>0</xdr:row>
      <xdr:rowOff>438150</xdr:rowOff>
    </xdr:to>
    <xdr:grpSp>
      <xdr:nvGrpSpPr>
        <xdr:cNvPr id="11" name="Group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314D1FE-6A32-40B5-8B52-A633C1936BD8}"/>
            </a:ext>
          </a:extLst>
        </xdr:cNvPr>
        <xdr:cNvGrpSpPr/>
      </xdr:nvGrpSpPr>
      <xdr:grpSpPr>
        <a:xfrm>
          <a:off x="3480435" y="142875"/>
          <a:ext cx="117729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F4CD43D3-3830-AD82-F812-00D5144AA43A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04E7341A-815A-8AE3-029B-E24DC08730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1247774</xdr:colOff>
      <xdr:row>0</xdr:row>
      <xdr:rowOff>142874</xdr:rowOff>
    </xdr:from>
    <xdr:to>
      <xdr:col>7</xdr:col>
      <xdr:colOff>466724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838E1F-B409-485D-9E86-2D61E6C09EE5}"/>
            </a:ext>
          </a:extLst>
        </xdr:cNvPr>
        <xdr:cNvGrpSpPr/>
      </xdr:nvGrpSpPr>
      <xdr:grpSpPr>
        <a:xfrm>
          <a:off x="4752974" y="142874"/>
          <a:ext cx="1421130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E886AA67-A298-ED85-F2C9-BBE185A1ED51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676B1BA7-352D-1C36-C106-B646CCFBF737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F5B57EFE-8568-C97E-CC2C-2035A63FC186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E2EBE30F-E7C6-B3E9-EF38-7494DF8025EA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8</xdr:col>
      <xdr:colOff>104622</xdr:colOff>
      <xdr:row>0</xdr:row>
      <xdr:rowOff>38100</xdr:rowOff>
    </xdr:from>
    <xdr:to>
      <xdr:col>13</xdr:col>
      <xdr:colOff>200024</xdr:colOff>
      <xdr:row>0</xdr:row>
      <xdr:rowOff>542924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65F12017-4CD5-45D8-81C3-9667333A1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</xdr:spPr>
    </xdr:pic>
    <xdr:clientData/>
  </xdr:twoCellAnchor>
  <xdr:twoCellAnchor editAs="absolute">
    <xdr:from>
      <xdr:col>4</xdr:col>
      <xdr:colOff>419100</xdr:colOff>
      <xdr:row>0</xdr:row>
      <xdr:rowOff>142875</xdr:rowOff>
    </xdr:from>
    <xdr:to>
      <xdr:col>5</xdr:col>
      <xdr:colOff>1009650</xdr:colOff>
      <xdr:row>0</xdr:row>
      <xdr:rowOff>438150</xdr:rowOff>
    </xdr:to>
    <xdr:grpSp>
      <xdr:nvGrpSpPr>
        <xdr:cNvPr id="11" name="Group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BEDE01D-8718-42C2-9CC2-5D9C2E42AC13}"/>
            </a:ext>
          </a:extLst>
        </xdr:cNvPr>
        <xdr:cNvGrpSpPr/>
      </xdr:nvGrpSpPr>
      <xdr:grpSpPr>
        <a:xfrm>
          <a:off x="3337560" y="142875"/>
          <a:ext cx="117729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68A81DE0-CA4D-7872-6581-22295CA8D821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B7EA1B57-58F3-551B-849F-B1BC23A785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1171574</xdr:colOff>
      <xdr:row>0</xdr:row>
      <xdr:rowOff>142874</xdr:rowOff>
    </xdr:from>
    <xdr:to>
      <xdr:col>7</xdr:col>
      <xdr:colOff>390524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EA0A39-09BB-47AA-A05C-E8F06CA05FC3}"/>
            </a:ext>
          </a:extLst>
        </xdr:cNvPr>
        <xdr:cNvGrpSpPr/>
      </xdr:nvGrpSpPr>
      <xdr:grpSpPr>
        <a:xfrm>
          <a:off x="4752974" y="142874"/>
          <a:ext cx="1421130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DA27F56A-0BE3-AAC9-8B87-F3807E8F1C7C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45235EAD-B0F7-AED9-55BF-96D88352C4AE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DC2E3C6C-369D-3DC6-28EC-1049704AB79C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BE6D48F9-1D62-1406-94A0-F7649DD19877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8</xdr:col>
      <xdr:colOff>28422</xdr:colOff>
      <xdr:row>0</xdr:row>
      <xdr:rowOff>38100</xdr:rowOff>
    </xdr:from>
    <xdr:to>
      <xdr:col>14</xdr:col>
      <xdr:colOff>76199</xdr:colOff>
      <xdr:row>0</xdr:row>
      <xdr:rowOff>542924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05EB8DD2-EA85-4BB5-8E84-CE5F15EB1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</xdr:spPr>
    </xdr:pic>
    <xdr:clientData/>
  </xdr:twoCellAnchor>
  <xdr:twoCellAnchor editAs="absolute">
    <xdr:from>
      <xdr:col>4</xdr:col>
      <xdr:colOff>485775</xdr:colOff>
      <xdr:row>0</xdr:row>
      <xdr:rowOff>133350</xdr:rowOff>
    </xdr:from>
    <xdr:to>
      <xdr:col>5</xdr:col>
      <xdr:colOff>1076325</xdr:colOff>
      <xdr:row>0</xdr:row>
      <xdr:rowOff>428625</xdr:rowOff>
    </xdr:to>
    <xdr:grpSp>
      <xdr:nvGrpSpPr>
        <xdr:cNvPr id="11" name="Group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8E59073-5BB9-48CB-8887-A50C8B03DCBE}"/>
            </a:ext>
          </a:extLst>
        </xdr:cNvPr>
        <xdr:cNvGrpSpPr/>
      </xdr:nvGrpSpPr>
      <xdr:grpSpPr>
        <a:xfrm>
          <a:off x="3480435" y="133350"/>
          <a:ext cx="117729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67AB0784-068B-527B-E499-7AB84303C4ED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8622044D-D49E-92B2-2707-52B9223C53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1133474</xdr:colOff>
      <xdr:row>0</xdr:row>
      <xdr:rowOff>142874</xdr:rowOff>
    </xdr:from>
    <xdr:to>
      <xdr:col>7</xdr:col>
      <xdr:colOff>352424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CD3D68-85DF-4FF9-8279-AB29D55CE8AA}"/>
            </a:ext>
          </a:extLst>
        </xdr:cNvPr>
        <xdr:cNvGrpSpPr/>
      </xdr:nvGrpSpPr>
      <xdr:grpSpPr>
        <a:xfrm>
          <a:off x="4752974" y="142874"/>
          <a:ext cx="1421130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49210099-5C81-458F-7049-07BFE35046DE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A7E0D594-0ABE-138C-16F5-DD50AD733FCF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D807EABA-F582-900A-CDD0-4B3AF553FCD6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CD9103A6-5A41-4CF4-0E98-311F633C59B3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7</xdr:col>
      <xdr:colOff>876147</xdr:colOff>
      <xdr:row>0</xdr:row>
      <xdr:rowOff>38100</xdr:rowOff>
    </xdr:from>
    <xdr:to>
      <xdr:col>14</xdr:col>
      <xdr:colOff>38099</xdr:colOff>
      <xdr:row>0</xdr:row>
      <xdr:rowOff>542924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BDF9A131-14F7-474C-BA41-7EAA25923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</xdr:spPr>
    </xdr:pic>
    <xdr:clientData/>
  </xdr:twoCellAnchor>
  <xdr:twoCellAnchor editAs="absolute">
    <xdr:from>
      <xdr:col>4</xdr:col>
      <xdr:colOff>400050</xdr:colOff>
      <xdr:row>0</xdr:row>
      <xdr:rowOff>142875</xdr:rowOff>
    </xdr:from>
    <xdr:to>
      <xdr:col>5</xdr:col>
      <xdr:colOff>952500</xdr:colOff>
      <xdr:row>0</xdr:row>
      <xdr:rowOff>438150</xdr:rowOff>
    </xdr:to>
    <xdr:grpSp>
      <xdr:nvGrpSpPr>
        <xdr:cNvPr id="11" name="Group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CDFD06F-53C7-41B9-BEE7-33A12F3C1E46}"/>
            </a:ext>
          </a:extLst>
        </xdr:cNvPr>
        <xdr:cNvGrpSpPr/>
      </xdr:nvGrpSpPr>
      <xdr:grpSpPr>
        <a:xfrm>
          <a:off x="3394710" y="142875"/>
          <a:ext cx="117729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DFDAB905-9EFE-D7B2-E1FE-8B8473D2BB04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309DEE2C-3244-1390-F9C8-BF857AE251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1381124</xdr:colOff>
      <xdr:row>0</xdr:row>
      <xdr:rowOff>142874</xdr:rowOff>
    </xdr:from>
    <xdr:to>
      <xdr:col>7</xdr:col>
      <xdr:colOff>600074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A25648-1FCD-4C13-BD12-C09AFDDF4C98}"/>
            </a:ext>
          </a:extLst>
        </xdr:cNvPr>
        <xdr:cNvGrpSpPr/>
      </xdr:nvGrpSpPr>
      <xdr:grpSpPr>
        <a:xfrm>
          <a:off x="4749164" y="142874"/>
          <a:ext cx="1421130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DD76BCB4-CC40-14C4-F6EA-922E63A181F7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4EAC1A7B-65C1-5009-5D04-D9D0019B96F4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B657D156-5E2A-A36D-B5FA-DC9D860EF3AE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A897BCF4-E623-FA61-4B8A-2863BAED31B7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8</xdr:col>
      <xdr:colOff>237972</xdr:colOff>
      <xdr:row>0</xdr:row>
      <xdr:rowOff>38100</xdr:rowOff>
    </xdr:from>
    <xdr:to>
      <xdr:col>14</xdr:col>
      <xdr:colOff>285749</xdr:colOff>
      <xdr:row>0</xdr:row>
      <xdr:rowOff>542924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B84D6E76-2045-4CF4-BF88-9CE63A6FF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</xdr:spPr>
    </xdr:pic>
    <xdr:clientData/>
  </xdr:twoCellAnchor>
  <xdr:twoCellAnchor editAs="absolute">
    <xdr:from>
      <xdr:col>5</xdr:col>
      <xdr:colOff>57150</xdr:colOff>
      <xdr:row>0</xdr:row>
      <xdr:rowOff>142875</xdr:rowOff>
    </xdr:from>
    <xdr:to>
      <xdr:col>5</xdr:col>
      <xdr:colOff>1219200</xdr:colOff>
      <xdr:row>0</xdr:row>
      <xdr:rowOff>438150</xdr:rowOff>
    </xdr:to>
    <xdr:grpSp>
      <xdr:nvGrpSpPr>
        <xdr:cNvPr id="11" name="Group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719F68D-6957-4DB8-8EEF-BE194387E63C}"/>
            </a:ext>
          </a:extLst>
        </xdr:cNvPr>
        <xdr:cNvGrpSpPr/>
      </xdr:nvGrpSpPr>
      <xdr:grpSpPr>
        <a:xfrm>
          <a:off x="3425190" y="142875"/>
          <a:ext cx="116205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E2C2DD91-FDAD-551C-9430-943C1656EFFC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DE54BD9F-2DE8-72D0-FC96-861A0288D6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476249</xdr:colOff>
      <xdr:row>0</xdr:row>
      <xdr:rowOff>142874</xdr:rowOff>
    </xdr:from>
    <xdr:to>
      <xdr:col>6</xdr:col>
      <xdr:colOff>276224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AED367-0FD9-47FE-B187-3BDBBABDFD35}"/>
            </a:ext>
          </a:extLst>
        </xdr:cNvPr>
        <xdr:cNvGrpSpPr/>
      </xdr:nvGrpSpPr>
      <xdr:grpSpPr>
        <a:xfrm>
          <a:off x="4773929" y="142874"/>
          <a:ext cx="1407795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829D6D77-CC03-A756-FD58-6CEFD71C6F41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D5585BAA-04CE-9AF2-4E43-ABB8EFA94552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FE4CF44F-86A7-FEAE-00CA-AFDCFF2B336A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7BCEC14E-5A3B-CB50-C7FA-A76709874962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6</xdr:col>
      <xdr:colOff>799947</xdr:colOff>
      <xdr:row>0</xdr:row>
      <xdr:rowOff>38100</xdr:rowOff>
    </xdr:from>
    <xdr:to>
      <xdr:col>11</xdr:col>
      <xdr:colOff>600074</xdr:colOff>
      <xdr:row>0</xdr:row>
      <xdr:rowOff>542924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8A49CC44-7C1C-4D6B-B307-778FE2FB3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</xdr:spPr>
    </xdr:pic>
    <xdr:clientData/>
  </xdr:twoCellAnchor>
  <xdr:twoCellAnchor editAs="absolute">
    <xdr:from>
      <xdr:col>3</xdr:col>
      <xdr:colOff>685800</xdr:colOff>
      <xdr:row>0</xdr:row>
      <xdr:rowOff>133350</xdr:rowOff>
    </xdr:from>
    <xdr:to>
      <xdr:col>5</xdr:col>
      <xdr:colOff>323850</xdr:colOff>
      <xdr:row>0</xdr:row>
      <xdr:rowOff>428625</xdr:rowOff>
    </xdr:to>
    <xdr:grpSp>
      <xdr:nvGrpSpPr>
        <xdr:cNvPr id="11" name="Group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C549845-5957-419C-B6B1-023D3824308D}"/>
            </a:ext>
          </a:extLst>
        </xdr:cNvPr>
        <xdr:cNvGrpSpPr/>
      </xdr:nvGrpSpPr>
      <xdr:grpSpPr>
        <a:xfrm>
          <a:off x="3421380" y="133350"/>
          <a:ext cx="120015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A112F0DD-442C-538E-7A53-EFE18032B2F4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8A4FE6DC-60B3-83EF-2E9B-71D7BB9812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476249</xdr:colOff>
      <xdr:row>0</xdr:row>
      <xdr:rowOff>142874</xdr:rowOff>
    </xdr:from>
    <xdr:to>
      <xdr:col>6</xdr:col>
      <xdr:colOff>276224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876193-8A6D-49BD-983B-D4F1811351C6}"/>
            </a:ext>
          </a:extLst>
        </xdr:cNvPr>
        <xdr:cNvGrpSpPr/>
      </xdr:nvGrpSpPr>
      <xdr:grpSpPr>
        <a:xfrm>
          <a:off x="4773929" y="142874"/>
          <a:ext cx="1407795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3E980ACA-AD46-105D-9754-AF7DAA5815AA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B3B9E28C-2E0F-6B80-556F-E61FA1E417F0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52BFF22D-34B2-85AE-268B-8EB655AE3DC2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26DB3C07-51F9-BC31-5A31-993650F7658F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6</xdr:col>
      <xdr:colOff>799947</xdr:colOff>
      <xdr:row>0</xdr:row>
      <xdr:rowOff>38100</xdr:rowOff>
    </xdr:from>
    <xdr:to>
      <xdr:col>9</xdr:col>
      <xdr:colOff>1704974</xdr:colOff>
      <xdr:row>0</xdr:row>
      <xdr:rowOff>542924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5D72D380-1CAB-4576-8118-147709D2A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</xdr:spPr>
    </xdr:pic>
    <xdr:clientData/>
  </xdr:twoCellAnchor>
  <xdr:twoCellAnchor editAs="absolute">
    <xdr:from>
      <xdr:col>3</xdr:col>
      <xdr:colOff>590550</xdr:colOff>
      <xdr:row>0</xdr:row>
      <xdr:rowOff>142875</xdr:rowOff>
    </xdr:from>
    <xdr:to>
      <xdr:col>5</xdr:col>
      <xdr:colOff>228600</xdr:colOff>
      <xdr:row>0</xdr:row>
      <xdr:rowOff>438150</xdr:rowOff>
    </xdr:to>
    <xdr:grpSp>
      <xdr:nvGrpSpPr>
        <xdr:cNvPr id="11" name="Group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8D2685B-CE50-4528-9F14-45143B124FBE}"/>
            </a:ext>
          </a:extLst>
        </xdr:cNvPr>
        <xdr:cNvGrpSpPr/>
      </xdr:nvGrpSpPr>
      <xdr:grpSpPr>
        <a:xfrm>
          <a:off x="3326130" y="142875"/>
          <a:ext cx="120015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2904AA48-76A8-BF28-EF22-0078BF5F721D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2D2119F1-5572-524B-D2E3-4F86D5FBD8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609599</xdr:colOff>
      <xdr:row>0</xdr:row>
      <xdr:rowOff>142874</xdr:rowOff>
    </xdr:from>
    <xdr:to>
      <xdr:col>6</xdr:col>
      <xdr:colOff>409574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57F5D6-33FB-44B2-8132-C3BC09354649}"/>
            </a:ext>
          </a:extLst>
        </xdr:cNvPr>
        <xdr:cNvGrpSpPr/>
      </xdr:nvGrpSpPr>
      <xdr:grpSpPr>
        <a:xfrm>
          <a:off x="4770119" y="142874"/>
          <a:ext cx="1407795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A891D226-535B-9130-D53C-B89EEB46F7CA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2AC4034D-35E8-CD47-48EE-A69419EF50F5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410A43A9-8443-3F72-08C9-19B261B8FC1D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D2DA9547-CCFC-AD37-7D64-CDDFBD110ABC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7</xdr:col>
      <xdr:colOff>47472</xdr:colOff>
      <xdr:row>0</xdr:row>
      <xdr:rowOff>38100</xdr:rowOff>
    </xdr:from>
    <xdr:to>
      <xdr:col>9</xdr:col>
      <xdr:colOff>1838324</xdr:colOff>
      <xdr:row>0</xdr:row>
      <xdr:rowOff>542924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639F6750-0E2F-4F37-8AB0-EE3AC3E59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</xdr:spPr>
    </xdr:pic>
    <xdr:clientData/>
  </xdr:twoCellAnchor>
  <xdr:twoCellAnchor editAs="absolute">
    <xdr:from>
      <xdr:col>3</xdr:col>
      <xdr:colOff>742950</xdr:colOff>
      <xdr:row>0</xdr:row>
      <xdr:rowOff>133350</xdr:rowOff>
    </xdr:from>
    <xdr:to>
      <xdr:col>5</xdr:col>
      <xdr:colOff>381000</xdr:colOff>
      <xdr:row>0</xdr:row>
      <xdr:rowOff>428625</xdr:rowOff>
    </xdr:to>
    <xdr:grpSp>
      <xdr:nvGrpSpPr>
        <xdr:cNvPr id="11" name="Group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2D092EA-E195-479E-89C4-2011915A5700}"/>
            </a:ext>
          </a:extLst>
        </xdr:cNvPr>
        <xdr:cNvGrpSpPr/>
      </xdr:nvGrpSpPr>
      <xdr:grpSpPr>
        <a:xfrm>
          <a:off x="3341370" y="133350"/>
          <a:ext cx="120015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78D084A0-A4DA-0B26-CAB5-56A811B1BF13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FD3BA5ED-1DA3-441F-4B25-66073789E6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704849</xdr:colOff>
      <xdr:row>0</xdr:row>
      <xdr:rowOff>142874</xdr:rowOff>
    </xdr:from>
    <xdr:to>
      <xdr:col>6</xdr:col>
      <xdr:colOff>504824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AE432B-7FB9-4DA6-8C41-889A0C31BD9E}"/>
            </a:ext>
          </a:extLst>
        </xdr:cNvPr>
        <xdr:cNvGrpSpPr/>
      </xdr:nvGrpSpPr>
      <xdr:grpSpPr>
        <a:xfrm>
          <a:off x="4766309" y="142874"/>
          <a:ext cx="1407795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9A5DA4C7-EBD3-F377-06EE-4F405CF66D89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23F32E51-3316-20E4-669D-DC5A54114EDE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556CF83C-65A8-3EEC-1751-EDDF1BD8DF83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9FC729D9-23DB-B92C-EC99-B02D4CE63AC9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7</xdr:col>
      <xdr:colOff>142722</xdr:colOff>
      <xdr:row>0</xdr:row>
      <xdr:rowOff>38100</xdr:rowOff>
    </xdr:from>
    <xdr:to>
      <xdr:col>9</xdr:col>
      <xdr:colOff>1933574</xdr:colOff>
      <xdr:row>0</xdr:row>
      <xdr:rowOff>542924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35AF08B5-3B6F-41AD-961E-11FCE9B4C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</xdr:spPr>
    </xdr:pic>
    <xdr:clientData/>
  </xdr:twoCellAnchor>
  <xdr:twoCellAnchor editAs="absolute">
    <xdr:from>
      <xdr:col>4</xdr:col>
      <xdr:colOff>76200</xdr:colOff>
      <xdr:row>0</xdr:row>
      <xdr:rowOff>133350</xdr:rowOff>
    </xdr:from>
    <xdr:to>
      <xdr:col>5</xdr:col>
      <xdr:colOff>495300</xdr:colOff>
      <xdr:row>0</xdr:row>
      <xdr:rowOff>428625</xdr:rowOff>
    </xdr:to>
    <xdr:grpSp>
      <xdr:nvGrpSpPr>
        <xdr:cNvPr id="11" name="Group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9317C46-26BF-476B-AAF1-1CB17B6245DE}"/>
            </a:ext>
          </a:extLst>
        </xdr:cNvPr>
        <xdr:cNvGrpSpPr/>
      </xdr:nvGrpSpPr>
      <xdr:grpSpPr>
        <a:xfrm>
          <a:off x="3375660" y="133350"/>
          <a:ext cx="118110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B8BED857-B0DD-3067-6EDB-304F2B700E7A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0DC329C6-B579-DFCF-75BD-D67BB54500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2143125</xdr:colOff>
      <xdr:row>0</xdr:row>
      <xdr:rowOff>66675</xdr:rowOff>
    </xdr:from>
    <xdr:ext cx="3705377" cy="504824"/>
    <xdr:pic>
      <xdr:nvPicPr>
        <xdr:cNvPr id="3" name="my-online-training-hub-logo-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2E1EDD-2E48-4D48-83CF-7534C68BE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495925" y="66675"/>
          <a:ext cx="3705377" cy="504824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30</xdr:row>
      <xdr:rowOff>166687</xdr:rowOff>
    </xdr:from>
    <xdr:to>
      <xdr:col>1</xdr:col>
      <xdr:colOff>609600</xdr:colOff>
      <xdr:row>34</xdr:row>
      <xdr:rowOff>14287</xdr:rowOff>
    </xdr:to>
    <xdr:pic>
      <xdr:nvPicPr>
        <xdr:cNvPr id="2" name="Picture 1" descr="YouTube Channe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EBEA2D-61B1-8647-9985-591C6D34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6700" y="6338887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822325</xdr:colOff>
      <xdr:row>30</xdr:row>
      <xdr:rowOff>166687</xdr:rowOff>
    </xdr:from>
    <xdr:to>
      <xdr:col>1</xdr:col>
      <xdr:colOff>1431925</xdr:colOff>
      <xdr:row>34</xdr:row>
      <xdr:rowOff>14287</xdr:rowOff>
    </xdr:to>
    <xdr:pic>
      <xdr:nvPicPr>
        <xdr:cNvPr id="4" name="Picture 3" descr="LinkedIn Profil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7C1EC3B-96BA-10BE-5A67-67780FFD0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9025" y="6338887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1644650</xdr:colOff>
      <xdr:row>30</xdr:row>
      <xdr:rowOff>166687</xdr:rowOff>
    </xdr:from>
    <xdr:to>
      <xdr:col>1</xdr:col>
      <xdr:colOff>2254250</xdr:colOff>
      <xdr:row>34</xdr:row>
      <xdr:rowOff>14287</xdr:rowOff>
    </xdr:to>
    <xdr:pic>
      <xdr:nvPicPr>
        <xdr:cNvPr id="5" name="Picture 4" descr="Instagram Profile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AA6C5BA-97A4-68A0-66DC-AA339DF89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11350" y="6338887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2466975</xdr:colOff>
      <xdr:row>30</xdr:row>
      <xdr:rowOff>180975</xdr:rowOff>
    </xdr:from>
    <xdr:to>
      <xdr:col>1</xdr:col>
      <xdr:colOff>3076575</xdr:colOff>
      <xdr:row>34</xdr:row>
      <xdr:rowOff>28575</xdr:rowOff>
    </xdr:to>
    <xdr:pic>
      <xdr:nvPicPr>
        <xdr:cNvPr id="6" name="Picture 5" descr="Pinterest Profil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CE18769-A5D3-6C55-3EC6-5982D0D1E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33675" y="6353175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203200</xdr:colOff>
      <xdr:row>30</xdr:row>
      <xdr:rowOff>185737</xdr:rowOff>
    </xdr:from>
    <xdr:to>
      <xdr:col>2</xdr:col>
      <xdr:colOff>812800</xdr:colOff>
      <xdr:row>34</xdr:row>
      <xdr:rowOff>33337</xdr:rowOff>
    </xdr:to>
    <xdr:pic>
      <xdr:nvPicPr>
        <xdr:cNvPr id="7" name="Picture 6" descr="TikTok Profile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C68A299-60D2-665D-713D-81C71F9B7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556000" y="6357937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1025525</xdr:colOff>
      <xdr:row>30</xdr:row>
      <xdr:rowOff>166687</xdr:rowOff>
    </xdr:from>
    <xdr:to>
      <xdr:col>2</xdr:col>
      <xdr:colOff>1635125</xdr:colOff>
      <xdr:row>34</xdr:row>
      <xdr:rowOff>14287</xdr:rowOff>
    </xdr:to>
    <xdr:pic>
      <xdr:nvPicPr>
        <xdr:cNvPr id="8" name="Picture 7" descr="Facebook Pag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EF04461-8449-2CB0-FBC7-BD134D0F9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378325" y="6338887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1866899</xdr:colOff>
      <xdr:row>30</xdr:row>
      <xdr:rowOff>172216</xdr:rowOff>
    </xdr:from>
    <xdr:to>
      <xdr:col>2</xdr:col>
      <xdr:colOff>2466975</xdr:colOff>
      <xdr:row>34</xdr:row>
      <xdr:rowOff>10292</xdr:rowOff>
    </xdr:to>
    <xdr:pic>
      <xdr:nvPicPr>
        <xdr:cNvPr id="13" name="Picture 12" descr="A black and white x in a black square&#10;&#10;Description automatically generated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7E9550A-15C5-1404-FD2A-008F771E9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699" y="6344416"/>
          <a:ext cx="600076" cy="60007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24C2E2-3B5B-4157-AE81-44076B251695}" name="Table2" displayName="Table2" ref="A1:I31" totalsRowCount="1" headerRowDxfId="25" dataDxfId="26">
  <autoFilter ref="A1:I30" xr:uid="{F324C2E2-3B5B-4157-AE81-44076B251695}"/>
  <tableColumns count="9">
    <tableColumn id="1" xr3:uid="{46AA643F-981E-4EA2-AC31-EA4C7800C2D5}" name="Dataset" totalsRowLabel="Total" dataDxfId="9" totalsRowDxfId="8"/>
    <tableColumn id="2" xr3:uid="{4FDA5BAB-6630-4973-902E-2F6A6478E959}" name="Column1" dataDxfId="10" totalsRowDxfId="24"/>
    <tableColumn id="3" xr3:uid="{63EC077A-53E7-4A9F-9EDA-C04B4AFA1485}" name="Column2" dataDxfId="29" totalsRowDxfId="23"/>
    <tableColumn id="4" xr3:uid="{A5D9C34E-30AA-4D43-AEB6-161C878D9D90}" name="Column3" dataDxfId="28" totalsRowDxfId="22"/>
    <tableColumn id="5" xr3:uid="{604722F1-AC66-4842-9318-815887581AEF}" name="Column4" dataDxfId="27" totalsRowDxfId="21"/>
    <tableColumn id="6" xr3:uid="{CED5C60B-A7D9-4622-8104-FE80A1C8B116}" name="Column5" dataDxfId="7" totalsRowDxfId="20"/>
    <tableColumn id="7" xr3:uid="{9EF6DCB1-8880-40BA-B1AB-FA214A00CA5A}" name="Column6" dataDxfId="5" totalsRowDxfId="6" dataCellStyle="Comma" totalsRowCellStyle="Comma"/>
    <tableColumn id="8" xr3:uid="{E8ECD02A-3111-4472-8082-5880BAE8EE70}" name="Column7" totalsRowFunction="count" dataDxfId="3" totalsRowDxfId="4" dataCellStyle="Comma" totalsRowCellStyle="Comma"/>
    <tableColumn id="11" xr3:uid="{D6C6DB1C-EB41-4CBE-A5E5-C9646C39BE11}" name="Column8" dataDxfId="2" totalsRowDxfId="1" dataCellStyle="Comma" totalsRowCellStyle="Comma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DA145-A723-457E-812B-65E723E9F8CD}" name="Table1" displayName="Table1" ref="A2:H31" totalsRowCount="1" headerRowDxfId="107" dataDxfId="106">
  <autoFilter ref="A2:H30" xr:uid="{683DA145-A723-457E-812B-65E723E9F8CD}"/>
  <tableColumns count="8">
    <tableColumn id="1" xr3:uid="{C49042CD-BF60-4C44-A0B4-176EFEE5C15D}" name="Date" totalsRowLabel="Total" dataDxfId="105" totalsRowDxfId="104"/>
    <tableColumn id="2" xr3:uid="{A66F44FB-46D3-4613-B3A6-513FEAB609A2}" name="ID" dataDxfId="103" totalsRowDxfId="102"/>
    <tableColumn id="3" xr3:uid="{9577779F-29EA-4942-B44D-8493D11525AB}" name="Name" dataDxfId="101" totalsRowDxfId="100"/>
    <tableColumn id="4" xr3:uid="{25150164-E3A0-4827-9A32-86C4C44B9A28}" name="Region" dataDxfId="99" totalsRowDxfId="98"/>
    <tableColumn id="5" xr3:uid="{90C53DBE-DE01-4CBD-89AB-8BEA69F9E214}" name="Rating" dataDxfId="97" totalsRowDxfId="96"/>
    <tableColumn id="6" xr3:uid="{630BC295-BE07-4A5D-84CD-3481157C7764}" name="Product" dataDxfId="95" totalsRowDxfId="94"/>
    <tableColumn id="7" xr3:uid="{F438AABA-03F8-4DBE-A2DF-FC280AE99F37}" name="Quantity" dataDxfId="93" totalsRowDxfId="92"/>
    <tableColumn id="8" xr3:uid="{BBBF0446-E1C0-4670-8A40-7D560DC49FB3}" name="Price Per Unit" totalsRowFunction="max" dataDxfId="91" totalsRowDxfId="9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46E7A5-0E82-4DE4-B014-5756275FE58B}" name="Table134" displayName="Table134" ref="A2:I31" totalsRowCount="1" headerRowDxfId="89" dataDxfId="88">
  <autoFilter ref="A2:I30" xr:uid="{683DA145-A723-457E-812B-65E723E9F8CD}"/>
  <tableColumns count="9">
    <tableColumn id="1" xr3:uid="{E3557137-BC1F-4ABB-B2CA-7D0E20ACAA7D}" name="Date" totalsRowLabel="Total" dataDxfId="87" totalsRowDxfId="86"/>
    <tableColumn id="2" xr3:uid="{01B1FA8C-A9CE-4351-871F-866166D38A61}" name="ID" dataDxfId="85" totalsRowDxfId="84"/>
    <tableColumn id="3" xr3:uid="{FC0C5982-3031-417A-91B6-2499D37DAC99}" name="Name" dataDxfId="83" totalsRowDxfId="82"/>
    <tableColumn id="4" xr3:uid="{FB63233C-B3CD-4EE7-A61A-9C1F2FA41396}" name="Region" dataDxfId="81" totalsRowDxfId="80"/>
    <tableColumn id="5" xr3:uid="{6390FFA4-2CCC-4D74-87BC-781CFBC61821}" name="Rating" dataDxfId="79" totalsRowDxfId="78"/>
    <tableColumn id="6" xr3:uid="{1002335C-C6BC-4757-AD1C-D69CF37D0BF9}" name="Product" dataDxfId="77" totalsRowDxfId="76"/>
    <tableColumn id="7" xr3:uid="{DED88F5D-5927-442D-B92B-78B9617AEC8E}" name="Quantity" dataDxfId="75" totalsRowDxfId="74"/>
    <tableColumn id="8" xr3:uid="{48062C4E-095B-4246-8691-576922D43763}" name="Price Per Unit" totalsRowFunction="max" dataDxfId="73" totalsRowDxfId="72"/>
    <tableColumn id="9" xr3:uid="{A0B2C8F9-B62F-470D-95E7-445F62EFDE89}" name="Sales" totalsRowFunction="sum" dataDxfId="71" totalsRowDxfId="70">
      <calculatedColumnFormula>IFERROR( Table134[[#This Row],[Quantity]]*Table134[[#This Row],[Price Per Unit]], 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78ACEF-0034-4C76-BC08-522BC807026B}" name="Table1345" displayName="Table1345" ref="A2:I31" totalsRowCount="1" headerRowDxfId="69" dataDxfId="68">
  <autoFilter ref="A2:I30" xr:uid="{683DA145-A723-457E-812B-65E723E9F8CD}"/>
  <tableColumns count="9">
    <tableColumn id="1" xr3:uid="{4EE4F555-68A0-412F-9208-F5F87F04B619}" name="Date" totalsRowLabel="Total" dataDxfId="67" totalsRowDxfId="66"/>
    <tableColumn id="2" xr3:uid="{DC93704D-60A7-4CE8-BBEF-A6837F28930E}" name="ID" dataDxfId="65" totalsRowDxfId="64"/>
    <tableColumn id="3" xr3:uid="{6473E714-0516-4F7F-95E0-9E5CE02ADC3B}" name="Name" dataDxfId="63" totalsRowDxfId="62"/>
    <tableColumn id="4" xr3:uid="{BE31A188-0E7C-4D3B-8371-072C3D86BF2D}" name="Region" dataDxfId="61" totalsRowDxfId="60"/>
    <tableColumn id="5" xr3:uid="{6C2FFAD1-E2D8-484E-94F2-760E17A9CD45}" name="Rating" dataDxfId="59" totalsRowDxfId="58"/>
    <tableColumn id="6" xr3:uid="{2B69B1E8-D8CE-44BD-917D-5EE33F11F873}" name="Product" dataDxfId="57" totalsRowDxfId="56"/>
    <tableColumn id="7" xr3:uid="{1EA5FAAB-313E-46FC-BF7B-AC74D3BCA5F0}" name="Quantity" dataDxfId="55" totalsRowDxfId="54"/>
    <tableColumn id="8" xr3:uid="{A38E3D75-87BD-4B62-A5B7-847826AC7465}" name="Price Per Unit" totalsRowFunction="max" dataDxfId="53" totalsRowDxfId="52"/>
    <tableColumn id="9" xr3:uid="{2B2ED7A8-8CC1-4A34-8B3B-30401267EB73}" name="Sales" totalsRowFunction="sum" dataDxfId="51" totalsRowDxfId="50">
      <calculatedColumnFormula>IFERROR( Table1345[[#This Row],[Quantity]]*Table1345[[#This Row],[Price Per Unit]], 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41D2B2-020E-4C92-B2FB-BE08D612B21D}" name="Table13456" displayName="Table13456" ref="A2:I31" totalsRowCount="1" headerRowDxfId="49" dataDxfId="48">
  <autoFilter ref="A2:I30" xr:uid="{683DA145-A723-457E-812B-65E723E9F8CD}"/>
  <tableColumns count="9">
    <tableColumn id="1" xr3:uid="{E91001D3-E6AE-449F-BF3C-A5A69FFFC92B}" name="Date" totalsRowLabel="Total" dataDxfId="47" totalsRowDxfId="46"/>
    <tableColumn id="2" xr3:uid="{866719AB-7435-4785-AEA7-84C494E2B56B}" name="ID" dataDxfId="45" totalsRowDxfId="44"/>
    <tableColumn id="3" xr3:uid="{575A0FAC-BB6B-4BC8-B037-DEFC18B16961}" name="Name" dataDxfId="43" totalsRowDxfId="42"/>
    <tableColumn id="4" xr3:uid="{BDD26564-6751-4862-B6AB-60CBB9DF3778}" name="Region" dataDxfId="41" totalsRowDxfId="40"/>
    <tableColumn id="5" xr3:uid="{0B2AAE18-425A-48DF-A485-D935C0A207CC}" name="Rating" dataDxfId="39" totalsRowDxfId="38"/>
    <tableColumn id="6" xr3:uid="{C0351C81-A9A9-4A9A-8782-631681CB104E}" name="Product" dataDxfId="37" totalsRowDxfId="36"/>
    <tableColumn id="7" xr3:uid="{F3E18428-543D-4DC6-AC67-C49C626E43EC}" name="Quantity" dataDxfId="35" totalsRowDxfId="34"/>
    <tableColumn id="8" xr3:uid="{7E04434A-F770-4052-9A89-08A6C409913D}" name="Price Per Unit" totalsRowFunction="max" dataDxfId="33" totalsRowDxfId="32"/>
    <tableColumn id="9" xr3:uid="{E09B3537-518E-4642-A78D-917EA0B588AD}" name="Sales" totalsRowFunction="sum" dataDxfId="31" totalsRowDxfId="30">
      <calculatedColumnFormula>IFERROR( Table13456[[#This Row],[Quantity]]*Table13456[[#This Row],[Price Per Unit]],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yonlinetraininghub.com/excel-expert-upgrade" TargetMode="External"/><Relationship Id="rId13" Type="http://schemas.openxmlformats.org/officeDocument/2006/relationships/hyperlink" Target="https://www.myonlinetraininghub.com/power-pivot-course" TargetMode="External"/><Relationship Id="rId18" Type="http://schemas.openxmlformats.org/officeDocument/2006/relationships/hyperlink" Target="https://www.myonlinetraininghub.com/excel-operations-management-course" TargetMode="External"/><Relationship Id="rId3" Type="http://schemas.openxmlformats.org/officeDocument/2006/relationships/hyperlink" Target="https://www.myonlinetraininghub.com/power-bi-course" TargetMode="External"/><Relationship Id="rId7" Type="http://schemas.openxmlformats.org/officeDocument/2006/relationships/hyperlink" Target="https://www.myonlinetraininghub.com/excel-functions" TargetMode="External"/><Relationship Id="rId12" Type="http://schemas.openxmlformats.org/officeDocument/2006/relationships/hyperlink" Target="https://www.myonlinetraininghub.com/excel-pivottable-course" TargetMode="External"/><Relationship Id="rId17" Type="http://schemas.openxmlformats.org/officeDocument/2006/relationships/hyperlink" Target="https://www.myonlinetraininghub.com/excel-for-customer-service-professionals" TargetMode="External"/><Relationship Id="rId2" Type="http://schemas.openxmlformats.org/officeDocument/2006/relationships/hyperlink" Target="http://www.myonlinetraininghub.com/category/excel-dashboard" TargetMode="External"/><Relationship Id="rId16" Type="http://schemas.openxmlformats.org/officeDocument/2006/relationships/hyperlink" Target="https://www.myonlinetraininghub.com/excel-analysis-toolpak-course" TargetMode="External"/><Relationship Id="rId20" Type="http://schemas.openxmlformats.org/officeDocument/2006/relationships/drawing" Target="../drawings/drawing14.xml"/><Relationship Id="rId1" Type="http://schemas.openxmlformats.org/officeDocument/2006/relationships/hyperlink" Target="http://www.myonlinetraininghub.com/category/excel-charts" TargetMode="External"/><Relationship Id="rId6" Type="http://schemas.openxmlformats.org/officeDocument/2006/relationships/hyperlink" Target="https://www.myonlinetraininghub.com/excel-dashboard-course" TargetMode="External"/><Relationship Id="rId11" Type="http://schemas.openxmlformats.org/officeDocument/2006/relationships/hyperlink" Target="https://www.myonlinetraininghub.com/excel-pivottable-course-quick-start" TargetMode="External"/><Relationship Id="rId5" Type="http://schemas.openxmlformats.org/officeDocument/2006/relationships/hyperlink" Target="https://www.myonlinetraininghub.com/excel-forum" TargetMode="External"/><Relationship Id="rId15" Type="http://schemas.openxmlformats.org/officeDocument/2006/relationships/hyperlink" Target="https://www.myonlinetraininghub.com/excel-for-finance-course" TargetMode="External"/><Relationship Id="rId10" Type="http://schemas.openxmlformats.org/officeDocument/2006/relationships/hyperlink" Target="https://www.myonlinetraininghub.com/excel-power-query-course" TargetMode="External"/><Relationship Id="rId19" Type="http://schemas.openxmlformats.org/officeDocument/2006/relationships/hyperlink" Target="https://www.myonlinetraininghub.com/financial-modelling-course" TargetMode="External"/><Relationship Id="rId4" Type="http://schemas.openxmlformats.org/officeDocument/2006/relationships/hyperlink" Target="http://www.myonlinetraininghub.com/excel-webinars" TargetMode="External"/><Relationship Id="rId9" Type="http://schemas.openxmlformats.org/officeDocument/2006/relationships/hyperlink" Target="https://www.myonlinetraininghub.com/advanced-excel-formulas-course" TargetMode="External"/><Relationship Id="rId14" Type="http://schemas.openxmlformats.org/officeDocument/2006/relationships/hyperlink" Target="https://www.myonlinetraininghub.com/excel-for-decision-making-cour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8689-294F-425B-92D5-0A64A793B10E}">
  <dimension ref="A1:Q30"/>
  <sheetViews>
    <sheetView showGridLines="0" showRowColHeaders="0" workbookViewId="0">
      <selection activeCell="G12" sqref="G12"/>
    </sheetView>
  </sheetViews>
  <sheetFormatPr defaultColWidth="0" defaultRowHeight="14.4" zeroHeight="1" x14ac:dyDescent="0.3"/>
  <cols>
    <col min="1" max="1" width="4.88671875" customWidth="1"/>
    <col min="2" max="17" width="9.109375" customWidth="1"/>
    <col min="18" max="16384" width="9.109375" hidden="1"/>
  </cols>
  <sheetData>
    <row r="1" spans="1:17" ht="52.5" customHeight="1" x14ac:dyDescent="0.3">
      <c r="A1" s="6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3"/>
    <row r="3" spans="1:17" ht="18" x14ac:dyDescent="0.35">
      <c r="B3" s="4" t="s">
        <v>1</v>
      </c>
    </row>
    <row r="4" spans="1:17" ht="18" x14ac:dyDescent="0.3">
      <c r="B4" s="5" t="s">
        <v>2</v>
      </c>
    </row>
    <row r="5" spans="1:17" ht="18" x14ac:dyDescent="0.3">
      <c r="B5" s="5" t="s">
        <v>3</v>
      </c>
    </row>
    <row r="6" spans="1:17" ht="18" x14ac:dyDescent="0.3">
      <c r="B6" s="5" t="s">
        <v>4</v>
      </c>
    </row>
    <row r="7" spans="1:17" ht="18" x14ac:dyDescent="0.3">
      <c r="B7" s="5"/>
    </row>
    <row r="8" spans="1:17" ht="18" x14ac:dyDescent="0.3">
      <c r="B8" s="5" t="s">
        <v>5</v>
      </c>
    </row>
    <row r="9" spans="1:17" x14ac:dyDescent="0.3"/>
    <row r="10" spans="1:17" ht="18" x14ac:dyDescent="0.3">
      <c r="B10" s="5" t="s">
        <v>6</v>
      </c>
    </row>
    <row r="11" spans="1:17" ht="18" x14ac:dyDescent="0.3">
      <c r="B11" s="5" t="s">
        <v>7</v>
      </c>
    </row>
    <row r="30" spans="2:2" hidden="1" x14ac:dyDescent="0.3">
      <c r="B30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9445-17DE-4A17-9A0C-1D9F0D234EEC}">
  <dimension ref="A1:P33"/>
  <sheetViews>
    <sheetView workbookViewId="0">
      <selection activeCell="C15" sqref="A1:H33"/>
    </sheetView>
  </sheetViews>
  <sheetFormatPr defaultRowHeight="14.4" x14ac:dyDescent="0.3"/>
  <cols>
    <col min="1" max="1" width="24.88671875" bestFit="1" customWidth="1"/>
    <col min="2" max="2" width="3" bestFit="1" customWidth="1"/>
    <col min="3" max="3" width="17.5546875" bestFit="1" customWidth="1"/>
    <col min="4" max="4" width="7.109375" bestFit="1" customWidth="1"/>
    <col min="5" max="5" width="8.5546875" bestFit="1" customWidth="1"/>
    <col min="6" max="6" width="23.44140625" bestFit="1" customWidth="1"/>
    <col min="7" max="7" width="8.6640625" bestFit="1" customWidth="1"/>
    <col min="8" max="8" width="13.33203125" bestFit="1" customWidth="1"/>
  </cols>
  <sheetData>
    <row r="1" spans="1:16" s="7" customFormat="1" ht="48.75" customHeight="1" x14ac:dyDescent="0.4">
      <c r="A1" s="6" t="s">
        <v>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3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</row>
    <row r="3" spans="1:16" ht="9.9" customHeight="1" x14ac:dyDescent="0.3">
      <c r="A3" s="9">
        <v>44227</v>
      </c>
      <c r="B3" s="10">
        <v>1</v>
      </c>
      <c r="C3" s="10" t="s">
        <v>18</v>
      </c>
      <c r="D3" s="10" t="s">
        <v>19</v>
      </c>
      <c r="E3" s="10" t="s">
        <v>20</v>
      </c>
      <c r="F3" s="10" t="s">
        <v>21</v>
      </c>
      <c r="G3" s="10">
        <v>10</v>
      </c>
      <c r="H3" s="11">
        <v>20</v>
      </c>
    </row>
    <row r="4" spans="1:16" ht="9.9" customHeight="1" x14ac:dyDescent="0.3">
      <c r="A4" s="9">
        <v>44255</v>
      </c>
      <c r="B4" s="10">
        <v>2</v>
      </c>
      <c r="C4" s="10" t="s">
        <v>22</v>
      </c>
      <c r="D4" s="10" t="s">
        <v>23</v>
      </c>
      <c r="E4" s="10" t="s">
        <v>24</v>
      </c>
      <c r="F4" s="10" t="s">
        <v>25</v>
      </c>
      <c r="G4" s="10">
        <v>15</v>
      </c>
      <c r="H4" s="11">
        <v>10</v>
      </c>
    </row>
    <row r="5" spans="1:16" ht="9.9" customHeight="1" x14ac:dyDescent="0.3">
      <c r="A5" s="9">
        <v>44286</v>
      </c>
      <c r="B5" s="10">
        <v>3</v>
      </c>
      <c r="C5" s="10" t="s">
        <v>26</v>
      </c>
      <c r="D5" s="10" t="s">
        <v>27</v>
      </c>
      <c r="E5" s="10" t="s">
        <v>28</v>
      </c>
      <c r="F5" s="10" t="s">
        <v>29</v>
      </c>
      <c r="G5" s="10">
        <v>0</v>
      </c>
      <c r="H5" s="10" t="s">
        <v>30</v>
      </c>
    </row>
    <row r="6" spans="1:16" ht="9.9" customHeight="1" x14ac:dyDescent="0.3">
      <c r="A6" s="9">
        <v>44316</v>
      </c>
      <c r="B6" s="10">
        <v>4</v>
      </c>
      <c r="C6" s="10" t="s">
        <v>31</v>
      </c>
      <c r="D6" s="10" t="s">
        <v>32</v>
      </c>
      <c r="E6" s="10" t="s">
        <v>33</v>
      </c>
      <c r="F6" s="10" t="s">
        <v>34</v>
      </c>
      <c r="G6" s="10">
        <v>25</v>
      </c>
      <c r="H6" s="11">
        <v>10</v>
      </c>
    </row>
    <row r="7" spans="1:16" x14ac:dyDescent="0.3">
      <c r="A7" s="9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10">
        <v>30</v>
      </c>
      <c r="H7" s="11">
        <v>16.670000000000002</v>
      </c>
    </row>
    <row r="8" spans="1:16" x14ac:dyDescent="0.3">
      <c r="A8" s="9">
        <v>44377</v>
      </c>
      <c r="B8" s="10">
        <v>6</v>
      </c>
      <c r="C8" s="10" t="s">
        <v>37</v>
      </c>
      <c r="D8" s="10"/>
      <c r="E8" s="10" t="s">
        <v>24</v>
      </c>
      <c r="F8" s="10" t="s">
        <v>38</v>
      </c>
      <c r="G8" s="10">
        <v>0</v>
      </c>
      <c r="H8" s="10" t="s">
        <v>30</v>
      </c>
    </row>
    <row r="9" spans="1:16" x14ac:dyDescent="0.3">
      <c r="A9" s="9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10">
        <v>35</v>
      </c>
      <c r="H9" s="11">
        <v>10</v>
      </c>
    </row>
    <row r="10" spans="1:16" x14ac:dyDescent="0.3">
      <c r="A10" s="9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10">
        <v>40</v>
      </c>
      <c r="H10" s="11">
        <v>15</v>
      </c>
    </row>
    <row r="11" spans="1:16" x14ac:dyDescent="0.3">
      <c r="A11" s="9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10">
        <v>45</v>
      </c>
      <c r="H11" s="11">
        <v>12.22</v>
      </c>
    </row>
    <row r="12" spans="1:16" ht="9.9" customHeight="1" x14ac:dyDescent="0.3">
      <c r="A12" s="9">
        <v>44500</v>
      </c>
      <c r="B12" s="10">
        <v>10</v>
      </c>
      <c r="C12" s="10" t="s">
        <v>45</v>
      </c>
      <c r="D12" s="10" t="s">
        <v>19</v>
      </c>
      <c r="E12" s="10" t="s">
        <v>24</v>
      </c>
      <c r="F12" s="10" t="s">
        <v>46</v>
      </c>
      <c r="G12" s="10">
        <v>50</v>
      </c>
      <c r="H12" s="11">
        <v>14</v>
      </c>
    </row>
    <row r="13" spans="1:16" ht="9.9" customHeight="1" x14ac:dyDescent="0.3">
      <c r="A13" s="9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10">
        <v>5</v>
      </c>
      <c r="H13" s="11">
        <v>160</v>
      </c>
    </row>
    <row r="14" spans="1:16" ht="9.9" customHeight="1" x14ac:dyDescent="0.3">
      <c r="A14" s="9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10">
        <v>20</v>
      </c>
      <c r="H14" s="11">
        <v>45</v>
      </c>
    </row>
    <row r="15" spans="1:16" ht="20.100000000000001" customHeight="1" x14ac:dyDescent="0.3">
      <c r="A15" s="9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10">
        <v>0</v>
      </c>
      <c r="H15" s="10" t="s">
        <v>30</v>
      </c>
    </row>
    <row r="16" spans="1:16" ht="20.100000000000001" customHeight="1" x14ac:dyDescent="0.3">
      <c r="A16" s="9">
        <v>44620</v>
      </c>
      <c r="B16" s="10">
        <v>14</v>
      </c>
      <c r="C16" s="10" t="s">
        <v>53</v>
      </c>
      <c r="D16" s="10"/>
      <c r="E16" s="10" t="s">
        <v>24</v>
      </c>
      <c r="F16" s="10" t="s">
        <v>54</v>
      </c>
      <c r="G16" s="10">
        <v>30</v>
      </c>
      <c r="H16" s="11">
        <v>36.67</v>
      </c>
    </row>
    <row r="17" spans="1:8" ht="20.100000000000001" customHeight="1" x14ac:dyDescent="0.3">
      <c r="A17" s="9">
        <v>44316</v>
      </c>
      <c r="B17" s="10">
        <v>4</v>
      </c>
      <c r="C17" s="10" t="s">
        <v>31</v>
      </c>
      <c r="D17" s="10" t="s">
        <v>32</v>
      </c>
      <c r="E17" s="10" t="s">
        <v>33</v>
      </c>
      <c r="F17" s="10" t="s">
        <v>34</v>
      </c>
      <c r="G17" s="10">
        <v>25</v>
      </c>
      <c r="H17" s="11">
        <v>10</v>
      </c>
    </row>
    <row r="18" spans="1:8" ht="20.100000000000001" customHeight="1" x14ac:dyDescent="0.3">
      <c r="A18" s="9">
        <v>44347</v>
      </c>
      <c r="B18" s="10">
        <v>5</v>
      </c>
      <c r="C18" s="10" t="s">
        <v>35</v>
      </c>
      <c r="D18" s="10" t="s">
        <v>23</v>
      </c>
      <c r="E18" s="10" t="s">
        <v>20</v>
      </c>
      <c r="F18" s="10" t="s">
        <v>36</v>
      </c>
      <c r="G18" s="10">
        <v>30</v>
      </c>
      <c r="H18" s="11">
        <v>16.670000000000002</v>
      </c>
    </row>
    <row r="19" spans="1:8" ht="20.100000000000001" customHeight="1" x14ac:dyDescent="0.3">
      <c r="A19" s="9">
        <v>44377</v>
      </c>
      <c r="B19" s="10">
        <v>6</v>
      </c>
      <c r="C19" s="10" t="s">
        <v>37</v>
      </c>
      <c r="D19" s="10"/>
      <c r="E19" s="10" t="s">
        <v>24</v>
      </c>
      <c r="F19" s="10" t="s">
        <v>38</v>
      </c>
      <c r="G19" s="10">
        <v>0</v>
      </c>
      <c r="H19" s="10" t="s">
        <v>30</v>
      </c>
    </row>
    <row r="20" spans="1:8" ht="20.100000000000001" customHeight="1" x14ac:dyDescent="0.3">
      <c r="A20" s="9">
        <v>44651</v>
      </c>
      <c r="B20" s="10">
        <v>15</v>
      </c>
      <c r="C20" s="10" t="s">
        <v>55</v>
      </c>
      <c r="D20" s="10" t="s">
        <v>27</v>
      </c>
      <c r="E20" s="10" t="s">
        <v>28</v>
      </c>
      <c r="F20" s="10" t="s">
        <v>56</v>
      </c>
      <c r="G20" s="10">
        <v>35</v>
      </c>
      <c r="H20" s="11">
        <v>34.29</v>
      </c>
    </row>
    <row r="21" spans="1:8" ht="20.100000000000001" customHeight="1" x14ac:dyDescent="0.3">
      <c r="A21" s="9">
        <v>44681</v>
      </c>
      <c r="B21" s="10">
        <v>16</v>
      </c>
      <c r="C21" s="10" t="s">
        <v>57</v>
      </c>
      <c r="D21" s="10"/>
      <c r="E21" s="10" t="s">
        <v>33</v>
      </c>
      <c r="F21" s="10" t="s">
        <v>58</v>
      </c>
      <c r="G21" s="10">
        <v>0</v>
      </c>
      <c r="H21" s="10" t="s">
        <v>30</v>
      </c>
    </row>
    <row r="22" spans="1:8" ht="20.100000000000001" customHeight="1" x14ac:dyDescent="0.3">
      <c r="A22" s="9">
        <v>44712</v>
      </c>
      <c r="B22" s="10">
        <v>17</v>
      </c>
      <c r="C22" s="10" t="s">
        <v>59</v>
      </c>
      <c r="D22" s="10" t="s">
        <v>23</v>
      </c>
      <c r="E22" s="10" t="s">
        <v>20</v>
      </c>
      <c r="F22" s="10" t="s">
        <v>60</v>
      </c>
      <c r="G22" s="10">
        <v>40</v>
      </c>
      <c r="H22" s="11">
        <v>35</v>
      </c>
    </row>
    <row r="23" spans="1:8" ht="20.100000000000001" customHeight="1" x14ac:dyDescent="0.3">
      <c r="A23" s="9">
        <v>44742</v>
      </c>
      <c r="B23" s="10">
        <v>18</v>
      </c>
      <c r="C23" s="10" t="s">
        <v>61</v>
      </c>
      <c r="D23" s="10" t="s">
        <v>19</v>
      </c>
      <c r="E23" s="10" t="s">
        <v>24</v>
      </c>
      <c r="F23" s="10" t="s">
        <v>62</v>
      </c>
      <c r="G23" s="10">
        <v>45</v>
      </c>
      <c r="H23" s="11">
        <v>33.33</v>
      </c>
    </row>
    <row r="24" spans="1:8" ht="20.100000000000001" customHeight="1" x14ac:dyDescent="0.3">
      <c r="A24" s="9">
        <v>44773</v>
      </c>
      <c r="B24" s="10">
        <v>19</v>
      </c>
      <c r="C24" s="10" t="s">
        <v>63</v>
      </c>
      <c r="D24" s="10" t="s">
        <v>27</v>
      </c>
      <c r="E24" s="10" t="s">
        <v>28</v>
      </c>
      <c r="F24" s="10" t="s">
        <v>64</v>
      </c>
      <c r="G24" s="10">
        <v>50</v>
      </c>
      <c r="H24" s="11">
        <v>32</v>
      </c>
    </row>
    <row r="25" spans="1:8" ht="20.100000000000001" customHeight="1" x14ac:dyDescent="0.3">
      <c r="A25" s="9">
        <v>44804</v>
      </c>
      <c r="B25" s="10">
        <v>20</v>
      </c>
      <c r="C25" s="10" t="s">
        <v>65</v>
      </c>
      <c r="D25" s="10" t="s">
        <v>32</v>
      </c>
      <c r="E25" s="10" t="s">
        <v>33</v>
      </c>
      <c r="F25" s="10" t="s">
        <v>66</v>
      </c>
      <c r="G25" s="10">
        <v>55</v>
      </c>
      <c r="H25" s="11">
        <v>30.91</v>
      </c>
    </row>
    <row r="26" spans="1:8" ht="20.100000000000001" customHeight="1" x14ac:dyDescent="0.3">
      <c r="A26" s="9">
        <v>44834</v>
      </c>
      <c r="B26" s="10">
        <v>21</v>
      </c>
      <c r="C26" s="10" t="s">
        <v>67</v>
      </c>
      <c r="D26" s="10" t="s">
        <v>23</v>
      </c>
      <c r="E26" s="10" t="s">
        <v>20</v>
      </c>
      <c r="F26" s="10" t="s">
        <v>68</v>
      </c>
      <c r="G26" s="10">
        <v>60</v>
      </c>
      <c r="H26" s="11">
        <v>30</v>
      </c>
    </row>
    <row r="27" spans="1:8" ht="20.100000000000001" customHeight="1" x14ac:dyDescent="0.3">
      <c r="A27" s="9">
        <v>44865</v>
      </c>
      <c r="B27" s="10">
        <v>22</v>
      </c>
      <c r="C27" s="10" t="s">
        <v>69</v>
      </c>
      <c r="D27" s="10" t="s">
        <v>19</v>
      </c>
      <c r="E27" s="10" t="s">
        <v>24</v>
      </c>
      <c r="F27" s="10" t="s">
        <v>70</v>
      </c>
      <c r="G27" s="10">
        <v>0</v>
      </c>
      <c r="H27" s="10" t="s">
        <v>30</v>
      </c>
    </row>
    <row r="28" spans="1:8" ht="20.100000000000001" customHeight="1" x14ac:dyDescent="0.3">
      <c r="A28" s="9">
        <v>44895</v>
      </c>
      <c r="B28" s="10">
        <v>23</v>
      </c>
      <c r="C28" s="10" t="s">
        <v>71</v>
      </c>
      <c r="D28" s="10" t="s">
        <v>27</v>
      </c>
      <c r="E28" s="10" t="s">
        <v>28</v>
      </c>
      <c r="F28" s="10" t="s">
        <v>72</v>
      </c>
      <c r="G28" s="10">
        <v>65</v>
      </c>
      <c r="H28" s="11">
        <v>30.77</v>
      </c>
    </row>
    <row r="29" spans="1:8" ht="20.100000000000001" customHeight="1" x14ac:dyDescent="0.3">
      <c r="A29" s="9">
        <v>44926</v>
      </c>
      <c r="B29" s="10">
        <v>24</v>
      </c>
      <c r="C29" s="10" t="s">
        <v>73</v>
      </c>
      <c r="D29" s="10" t="s">
        <v>32</v>
      </c>
      <c r="E29" s="10" t="s">
        <v>33</v>
      </c>
      <c r="F29" s="10" t="s">
        <v>74</v>
      </c>
      <c r="G29" s="10">
        <v>70</v>
      </c>
      <c r="H29" s="11">
        <v>30</v>
      </c>
    </row>
    <row r="30" spans="1:8" ht="20.100000000000001" customHeight="1" x14ac:dyDescent="0.3">
      <c r="A30" s="9">
        <v>44957</v>
      </c>
      <c r="B30" s="10">
        <v>25</v>
      </c>
      <c r="C30" s="10" t="s">
        <v>75</v>
      </c>
      <c r="D30" s="10" t="s">
        <v>76</v>
      </c>
      <c r="E30" s="10" t="s">
        <v>77</v>
      </c>
      <c r="F30" s="10" t="s">
        <v>78</v>
      </c>
      <c r="G30" s="10">
        <v>75</v>
      </c>
      <c r="H30" s="11">
        <v>29.33</v>
      </c>
    </row>
    <row r="31" spans="1:8" ht="20.100000000000001" customHeight="1" x14ac:dyDescent="0.3">
      <c r="A31" s="9">
        <v>44985</v>
      </c>
      <c r="B31" s="10">
        <v>26</v>
      </c>
      <c r="C31" s="10" t="s">
        <v>79</v>
      </c>
      <c r="D31" s="10" t="s">
        <v>76</v>
      </c>
      <c r="E31" s="10" t="s">
        <v>80</v>
      </c>
      <c r="F31" s="10" t="s">
        <v>81</v>
      </c>
      <c r="G31" s="10">
        <v>80</v>
      </c>
      <c r="H31" s="11">
        <v>28.75</v>
      </c>
    </row>
    <row r="32" spans="1:8" ht="20.100000000000001" customHeight="1" x14ac:dyDescent="0.3">
      <c r="A32" s="9">
        <v>45016</v>
      </c>
      <c r="B32" s="10">
        <v>27</v>
      </c>
      <c r="C32" s="10" t="s">
        <v>51</v>
      </c>
      <c r="D32" s="10" t="s">
        <v>23</v>
      </c>
      <c r="E32" s="10" t="s">
        <v>82</v>
      </c>
      <c r="F32" s="10" t="s">
        <v>83</v>
      </c>
      <c r="G32" s="10">
        <v>0</v>
      </c>
      <c r="H32" s="10" t="s">
        <v>30</v>
      </c>
    </row>
    <row r="33" spans="1:8" ht="20.100000000000001" customHeight="1" x14ac:dyDescent="0.3">
      <c r="A33" s="9">
        <v>45046</v>
      </c>
      <c r="B33" s="10">
        <v>28</v>
      </c>
      <c r="C33" s="10" t="s">
        <v>49</v>
      </c>
      <c r="D33" s="10" t="s">
        <v>32</v>
      </c>
      <c r="E33" s="10" t="s">
        <v>84</v>
      </c>
      <c r="F33" s="10" t="s">
        <v>85</v>
      </c>
      <c r="G33" s="10">
        <v>85</v>
      </c>
      <c r="H33" s="11">
        <v>29.41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C46C-49B4-4CF4-A36E-EAF76E19D373}">
  <dimension ref="A1:O31"/>
  <sheetViews>
    <sheetView showGridLines="0" tabSelected="1" topLeftCell="A4" workbookViewId="0">
      <selection activeCell="D20" sqref="D20"/>
    </sheetView>
  </sheetViews>
  <sheetFormatPr defaultRowHeight="14.4" x14ac:dyDescent="0.3"/>
  <cols>
    <col min="1" max="1" width="20.109375" style="36" customWidth="1"/>
    <col min="2" max="2" width="22.6640625" customWidth="1"/>
    <col min="3" max="4" width="23.44140625" customWidth="1"/>
    <col min="5" max="5" width="23.5546875" customWidth="1"/>
    <col min="6" max="6" width="23.44140625" customWidth="1"/>
    <col min="7" max="7" width="23.44140625" style="43" customWidth="1"/>
    <col min="8" max="8" width="23.33203125" style="43" customWidth="1"/>
    <col min="9" max="9" width="10.109375" style="43" bestFit="1" customWidth="1"/>
  </cols>
  <sheetData>
    <row r="1" spans="1:15" s="7" customFormat="1" ht="39.6" x14ac:dyDescent="0.4">
      <c r="A1" s="38" t="s">
        <v>9</v>
      </c>
      <c r="B1" s="6" t="s">
        <v>149</v>
      </c>
      <c r="C1" s="6" t="s">
        <v>150</v>
      </c>
      <c r="D1" s="6" t="s">
        <v>151</v>
      </c>
      <c r="E1" s="6" t="s">
        <v>152</v>
      </c>
      <c r="F1" s="6" t="s">
        <v>153</v>
      </c>
      <c r="G1" s="40" t="s">
        <v>154</v>
      </c>
      <c r="H1" s="40" t="s">
        <v>155</v>
      </c>
      <c r="I1" s="40" t="s">
        <v>156</v>
      </c>
      <c r="J1" s="6"/>
      <c r="K1" s="6"/>
      <c r="L1" s="6"/>
      <c r="M1" s="6"/>
      <c r="N1" s="6"/>
      <c r="O1" s="6"/>
    </row>
    <row r="2" spans="1:15" x14ac:dyDescent="0.3">
      <c r="A2" s="39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41" t="s">
        <v>16</v>
      </c>
      <c r="H2" s="41" t="s">
        <v>17</v>
      </c>
      <c r="I2" s="42" t="s">
        <v>102</v>
      </c>
    </row>
    <row r="3" spans="1:15" x14ac:dyDescent="0.3">
      <c r="A3" s="35">
        <v>44227</v>
      </c>
      <c r="B3" s="10">
        <v>1</v>
      </c>
      <c r="C3" s="10" t="s">
        <v>91</v>
      </c>
      <c r="D3" s="10" t="s">
        <v>19</v>
      </c>
      <c r="E3" s="10" t="s">
        <v>20</v>
      </c>
      <c r="F3" s="10" t="s">
        <v>21</v>
      </c>
      <c r="G3" s="42">
        <v>10</v>
      </c>
      <c r="H3" s="42">
        <v>20</v>
      </c>
      <c r="I3" s="42">
        <f>IFERROR(Table2[[#This Row],[Column6]]*Table2[[#This Row],[Column7]], "missing")</f>
        <v>200</v>
      </c>
    </row>
    <row r="4" spans="1:15" x14ac:dyDescent="0.3">
      <c r="A4" s="35">
        <v>44255</v>
      </c>
      <c r="B4" s="10">
        <v>2</v>
      </c>
      <c r="C4" s="10" t="s">
        <v>22</v>
      </c>
      <c r="D4" s="10" t="s">
        <v>23</v>
      </c>
      <c r="E4" s="10" t="s">
        <v>24</v>
      </c>
      <c r="F4" s="10" t="s">
        <v>25</v>
      </c>
      <c r="G4" s="42">
        <v>15</v>
      </c>
      <c r="H4" s="42">
        <v>10</v>
      </c>
      <c r="I4" s="42">
        <f>IFERROR(Table2[[#This Row],[Column6]]*Table2[[#This Row],[Column7]], "missing")</f>
        <v>150</v>
      </c>
    </row>
    <row r="5" spans="1:15" x14ac:dyDescent="0.3">
      <c r="A5" s="35">
        <v>44286</v>
      </c>
      <c r="B5" s="10">
        <v>3</v>
      </c>
      <c r="C5" s="10" t="s">
        <v>92</v>
      </c>
      <c r="D5" s="10" t="s">
        <v>27</v>
      </c>
      <c r="E5" s="10" t="s">
        <v>28</v>
      </c>
      <c r="F5" s="10" t="s">
        <v>29</v>
      </c>
      <c r="G5" s="42">
        <v>0</v>
      </c>
      <c r="H5" s="42"/>
      <c r="I5" s="42">
        <f>IFERROR(Table2[[#This Row],[Column6]]*Table2[[#This Row],[Column7]], "missing")</f>
        <v>0</v>
      </c>
    </row>
    <row r="6" spans="1:15" x14ac:dyDescent="0.3">
      <c r="A6" s="35">
        <v>44316</v>
      </c>
      <c r="B6" s="10">
        <v>4</v>
      </c>
      <c r="C6" s="10" t="s">
        <v>93</v>
      </c>
      <c r="D6" s="10" t="s">
        <v>32</v>
      </c>
      <c r="E6" s="10" t="s">
        <v>33</v>
      </c>
      <c r="F6" s="10" t="s">
        <v>34</v>
      </c>
      <c r="G6" s="42">
        <v>25</v>
      </c>
      <c r="H6" s="42">
        <v>10</v>
      </c>
      <c r="I6" s="42">
        <f>IFERROR(Table2[[#This Row],[Column6]]*Table2[[#This Row],[Column7]], "missing")</f>
        <v>250</v>
      </c>
    </row>
    <row r="7" spans="1:15" x14ac:dyDescent="0.3">
      <c r="A7" s="35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42">
        <v>30</v>
      </c>
      <c r="H7" s="42">
        <v>16.670000000000002</v>
      </c>
      <c r="I7" s="42">
        <f>IFERROR(Table2[[#This Row],[Column6]]*Table2[[#This Row],[Column7]], "missing")</f>
        <v>500.1</v>
      </c>
    </row>
    <row r="8" spans="1:15" x14ac:dyDescent="0.3">
      <c r="A8" s="35">
        <v>44377</v>
      </c>
      <c r="B8" s="10">
        <v>6</v>
      </c>
      <c r="C8" s="10" t="s">
        <v>94</v>
      </c>
      <c r="D8" s="10" t="s">
        <v>95</v>
      </c>
      <c r="E8" s="10" t="s">
        <v>24</v>
      </c>
      <c r="F8" s="10" t="s">
        <v>38</v>
      </c>
      <c r="G8" s="42">
        <v>0</v>
      </c>
      <c r="H8" s="42"/>
      <c r="I8" s="42">
        <f>IFERROR(Table2[[#This Row],[Column6]]*Table2[[#This Row],[Column7]], "missing")</f>
        <v>0</v>
      </c>
    </row>
    <row r="9" spans="1:15" x14ac:dyDescent="0.3">
      <c r="A9" s="35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42">
        <v>35</v>
      </c>
      <c r="H9" s="42">
        <v>10</v>
      </c>
      <c r="I9" s="42">
        <f>IFERROR(Table2[[#This Row],[Column6]]*Table2[[#This Row],[Column7]], "missing")</f>
        <v>350</v>
      </c>
    </row>
    <row r="10" spans="1:15" x14ac:dyDescent="0.3">
      <c r="A10" s="35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42">
        <v>40</v>
      </c>
      <c r="H10" s="42">
        <v>15</v>
      </c>
      <c r="I10" s="42">
        <f>IFERROR(Table2[[#This Row],[Column6]]*Table2[[#This Row],[Column7]], "missing")</f>
        <v>600</v>
      </c>
    </row>
    <row r="11" spans="1:15" x14ac:dyDescent="0.3">
      <c r="A11" s="35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42">
        <v>45</v>
      </c>
      <c r="H11" s="42">
        <v>12.22</v>
      </c>
      <c r="I11" s="42">
        <f>IFERROR(Table2[[#This Row],[Column6]]*Table2[[#This Row],[Column7]], "missing")</f>
        <v>549.9</v>
      </c>
    </row>
    <row r="12" spans="1:15" x14ac:dyDescent="0.3">
      <c r="A12" s="35">
        <v>44500</v>
      </c>
      <c r="B12" s="10">
        <v>10</v>
      </c>
      <c r="C12" s="10" t="s">
        <v>45</v>
      </c>
      <c r="D12" s="10" t="s">
        <v>19</v>
      </c>
      <c r="E12" s="10" t="s">
        <v>24</v>
      </c>
      <c r="F12" s="10" t="s">
        <v>46</v>
      </c>
      <c r="G12" s="42">
        <v>50</v>
      </c>
      <c r="H12" s="42">
        <v>14</v>
      </c>
      <c r="I12" s="42">
        <f>IFERROR(Table2[[#This Row],[Column6]]*Table2[[#This Row],[Column7]], "missing")</f>
        <v>700</v>
      </c>
    </row>
    <row r="13" spans="1:15" x14ac:dyDescent="0.3">
      <c r="A13" s="35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42">
        <v>5</v>
      </c>
      <c r="H13" s="42">
        <v>160</v>
      </c>
      <c r="I13" s="42">
        <f>IFERROR(Table2[[#This Row],[Column6]]*Table2[[#This Row],[Column7]], "missing")</f>
        <v>800</v>
      </c>
    </row>
    <row r="14" spans="1:15" x14ac:dyDescent="0.3">
      <c r="A14" s="35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42">
        <v>20</v>
      </c>
      <c r="H14" s="42">
        <v>45</v>
      </c>
      <c r="I14" s="42">
        <f>IFERROR(Table2[[#This Row],[Column6]]*Table2[[#This Row],[Column7]], "missing")</f>
        <v>900</v>
      </c>
    </row>
    <row r="15" spans="1:15" x14ac:dyDescent="0.3">
      <c r="A15" s="35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42">
        <v>0</v>
      </c>
      <c r="H15" s="42"/>
      <c r="I15" s="42">
        <f>IFERROR(Table2[[#This Row],[Column6]]*Table2[[#This Row],[Column7]], "missing")</f>
        <v>0</v>
      </c>
    </row>
    <row r="16" spans="1:15" x14ac:dyDescent="0.3">
      <c r="A16" s="35">
        <v>44620</v>
      </c>
      <c r="B16" s="10">
        <v>14</v>
      </c>
      <c r="C16" s="10" t="s">
        <v>53</v>
      </c>
      <c r="D16" s="10" t="s">
        <v>95</v>
      </c>
      <c r="E16" s="10" t="s">
        <v>24</v>
      </c>
      <c r="F16" s="10" t="s">
        <v>54</v>
      </c>
      <c r="G16" s="42">
        <v>30</v>
      </c>
      <c r="H16" s="42">
        <v>36.67</v>
      </c>
      <c r="I16" s="42">
        <f>IFERROR(Table2[[#This Row],[Column6]]*Table2[[#This Row],[Column7]], "missing")</f>
        <v>1100.1000000000001</v>
      </c>
    </row>
    <row r="17" spans="1:9" x14ac:dyDescent="0.3">
      <c r="A17" s="35">
        <v>44651</v>
      </c>
      <c r="B17" s="10">
        <v>15</v>
      </c>
      <c r="C17" s="10" t="s">
        <v>55</v>
      </c>
      <c r="D17" s="10" t="s">
        <v>27</v>
      </c>
      <c r="E17" s="10" t="s">
        <v>28</v>
      </c>
      <c r="F17" s="10" t="s">
        <v>56</v>
      </c>
      <c r="G17" s="42">
        <v>35</v>
      </c>
      <c r="H17" s="42">
        <v>34.29</v>
      </c>
      <c r="I17" s="42">
        <f>IFERROR(Table2[[#This Row],[Column6]]*Table2[[#This Row],[Column7]], "missing")</f>
        <v>1200.1499999999999</v>
      </c>
    </row>
    <row r="18" spans="1:9" x14ac:dyDescent="0.3">
      <c r="A18" s="35">
        <v>44681</v>
      </c>
      <c r="B18" s="10">
        <v>16</v>
      </c>
      <c r="C18" s="10" t="s">
        <v>57</v>
      </c>
      <c r="D18" s="10" t="s">
        <v>95</v>
      </c>
      <c r="E18" s="10" t="s">
        <v>33</v>
      </c>
      <c r="F18" s="10" t="s">
        <v>58</v>
      </c>
      <c r="G18" s="42">
        <v>0</v>
      </c>
      <c r="H18" s="42"/>
      <c r="I18" s="42">
        <f>IFERROR(Table2[[#This Row],[Column6]]*Table2[[#This Row],[Column7]], "missing")</f>
        <v>0</v>
      </c>
    </row>
    <row r="19" spans="1:9" x14ac:dyDescent="0.3">
      <c r="A19" s="35">
        <v>44712</v>
      </c>
      <c r="B19" s="10">
        <v>17</v>
      </c>
      <c r="C19" s="10" t="s">
        <v>59</v>
      </c>
      <c r="D19" s="10" t="s">
        <v>23</v>
      </c>
      <c r="E19" s="10" t="s">
        <v>20</v>
      </c>
      <c r="F19" s="10" t="s">
        <v>60</v>
      </c>
      <c r="G19" s="42">
        <v>40</v>
      </c>
      <c r="H19" s="42">
        <v>35</v>
      </c>
      <c r="I19" s="42">
        <f>IFERROR(Table2[[#This Row],[Column6]]*Table2[[#This Row],[Column7]], "missing")</f>
        <v>1400</v>
      </c>
    </row>
    <row r="20" spans="1:9" x14ac:dyDescent="0.3">
      <c r="A20" s="35">
        <v>44742</v>
      </c>
      <c r="B20" s="10">
        <v>18</v>
      </c>
      <c r="C20" s="10" t="s">
        <v>61</v>
      </c>
      <c r="D20" s="10" t="s">
        <v>19</v>
      </c>
      <c r="E20" s="10" t="s">
        <v>24</v>
      </c>
      <c r="F20" s="10" t="s">
        <v>62</v>
      </c>
      <c r="G20" s="42">
        <v>45</v>
      </c>
      <c r="H20" s="42">
        <v>33.33</v>
      </c>
      <c r="I20" s="42">
        <f>IFERROR(Table2[[#This Row],[Column6]]*Table2[[#This Row],[Column7]], "missing")</f>
        <v>1499.85</v>
      </c>
    </row>
    <row r="21" spans="1:9" x14ac:dyDescent="0.3">
      <c r="A21" s="35">
        <v>44773</v>
      </c>
      <c r="B21" s="10">
        <v>19</v>
      </c>
      <c r="C21" s="10" t="s">
        <v>63</v>
      </c>
      <c r="D21" s="10" t="s">
        <v>27</v>
      </c>
      <c r="E21" s="10" t="s">
        <v>28</v>
      </c>
      <c r="F21" s="10" t="s">
        <v>64</v>
      </c>
      <c r="G21" s="42">
        <v>50</v>
      </c>
      <c r="H21" s="42">
        <v>32</v>
      </c>
      <c r="I21" s="42">
        <f>IFERROR(Table2[[#This Row],[Column6]]*Table2[[#This Row],[Column7]], "missing")</f>
        <v>1600</v>
      </c>
    </row>
    <row r="22" spans="1:9" x14ac:dyDescent="0.3">
      <c r="A22" s="35">
        <v>44804</v>
      </c>
      <c r="B22" s="10">
        <v>20</v>
      </c>
      <c r="C22" s="10" t="s">
        <v>65</v>
      </c>
      <c r="D22" s="10" t="s">
        <v>32</v>
      </c>
      <c r="E22" s="10" t="s">
        <v>33</v>
      </c>
      <c r="F22" s="10" t="s">
        <v>66</v>
      </c>
      <c r="G22" s="42">
        <v>55</v>
      </c>
      <c r="H22" s="42">
        <v>30.91</v>
      </c>
      <c r="I22" s="42">
        <f>IFERROR(Table2[[#This Row],[Column6]]*Table2[[#This Row],[Column7]], "missing")</f>
        <v>1700.05</v>
      </c>
    </row>
    <row r="23" spans="1:9" x14ac:dyDescent="0.3">
      <c r="A23" s="35">
        <v>44834</v>
      </c>
      <c r="B23" s="10">
        <v>21</v>
      </c>
      <c r="C23" s="10" t="s">
        <v>67</v>
      </c>
      <c r="D23" s="10" t="s">
        <v>23</v>
      </c>
      <c r="E23" s="10" t="s">
        <v>20</v>
      </c>
      <c r="F23" s="10" t="s">
        <v>68</v>
      </c>
      <c r="G23" s="42">
        <v>60</v>
      </c>
      <c r="H23" s="42">
        <v>30</v>
      </c>
      <c r="I23" s="42">
        <f>IFERROR(Table2[[#This Row],[Column6]]*Table2[[#This Row],[Column7]], "missing")</f>
        <v>1800</v>
      </c>
    </row>
    <row r="24" spans="1:9" x14ac:dyDescent="0.3">
      <c r="A24" s="35">
        <v>44865</v>
      </c>
      <c r="B24" s="10">
        <v>22</v>
      </c>
      <c r="C24" s="10" t="s">
        <v>69</v>
      </c>
      <c r="D24" s="10" t="s">
        <v>19</v>
      </c>
      <c r="E24" s="10" t="s">
        <v>24</v>
      </c>
      <c r="F24" s="10" t="s">
        <v>70</v>
      </c>
      <c r="G24" s="42">
        <v>0</v>
      </c>
      <c r="H24" s="42"/>
      <c r="I24" s="42">
        <f>IFERROR(Table2[[#This Row],[Column6]]*Table2[[#This Row],[Column7]], "missing")</f>
        <v>0</v>
      </c>
    </row>
    <row r="25" spans="1:9" x14ac:dyDescent="0.3">
      <c r="A25" s="35">
        <v>44895</v>
      </c>
      <c r="B25" s="10">
        <v>23</v>
      </c>
      <c r="C25" s="10" t="s">
        <v>71</v>
      </c>
      <c r="D25" s="10" t="s">
        <v>27</v>
      </c>
      <c r="E25" s="10" t="s">
        <v>28</v>
      </c>
      <c r="F25" s="10" t="s">
        <v>72</v>
      </c>
      <c r="G25" s="42">
        <v>65</v>
      </c>
      <c r="H25" s="42">
        <v>30.77</v>
      </c>
      <c r="I25" s="42">
        <f>IFERROR(Table2[[#This Row],[Column6]]*Table2[[#This Row],[Column7]], "missing")</f>
        <v>2000.05</v>
      </c>
    </row>
    <row r="26" spans="1:9" x14ac:dyDescent="0.3">
      <c r="A26" s="35">
        <v>44926</v>
      </c>
      <c r="B26" s="10">
        <v>24</v>
      </c>
      <c r="C26" s="10" t="s">
        <v>73</v>
      </c>
      <c r="D26" s="10" t="s">
        <v>32</v>
      </c>
      <c r="E26" s="10" t="s">
        <v>33</v>
      </c>
      <c r="F26" s="10" t="s">
        <v>74</v>
      </c>
      <c r="G26" s="42">
        <v>70</v>
      </c>
      <c r="H26" s="42">
        <v>30</v>
      </c>
      <c r="I26" s="42">
        <f>IFERROR(Table2[[#This Row],[Column6]]*Table2[[#This Row],[Column7]], "missing")</f>
        <v>2100</v>
      </c>
    </row>
    <row r="27" spans="1:9" x14ac:dyDescent="0.3">
      <c r="A27" s="35">
        <v>44957</v>
      </c>
      <c r="B27" s="10">
        <v>25</v>
      </c>
      <c r="C27" s="10" t="s">
        <v>75</v>
      </c>
      <c r="D27" s="10" t="s">
        <v>76</v>
      </c>
      <c r="E27" s="10" t="s">
        <v>77</v>
      </c>
      <c r="F27" s="10" t="s">
        <v>78</v>
      </c>
      <c r="G27" s="42">
        <v>75</v>
      </c>
      <c r="H27" s="42">
        <v>29.33</v>
      </c>
      <c r="I27" s="42">
        <f>IFERROR(Table2[[#This Row],[Column6]]*Table2[[#This Row],[Column7]], "missing")</f>
        <v>2199.75</v>
      </c>
    </row>
    <row r="28" spans="1:9" x14ac:dyDescent="0.3">
      <c r="A28" s="35">
        <v>44985</v>
      </c>
      <c r="B28" s="10">
        <v>26</v>
      </c>
      <c r="C28" s="10" t="s">
        <v>79</v>
      </c>
      <c r="D28" s="10" t="s">
        <v>76</v>
      </c>
      <c r="E28" s="10" t="s">
        <v>80</v>
      </c>
      <c r="F28" s="10" t="s">
        <v>81</v>
      </c>
      <c r="G28" s="42">
        <v>80</v>
      </c>
      <c r="H28" s="42">
        <v>28.75</v>
      </c>
      <c r="I28" s="42">
        <f>IFERROR(Table2[[#This Row],[Column6]]*Table2[[#This Row],[Column7]], "missing")</f>
        <v>2300</v>
      </c>
    </row>
    <row r="29" spans="1:9" x14ac:dyDescent="0.3">
      <c r="A29" s="35">
        <v>45016</v>
      </c>
      <c r="B29" s="10">
        <v>27</v>
      </c>
      <c r="C29" s="10" t="s">
        <v>51</v>
      </c>
      <c r="D29" s="10" t="s">
        <v>23</v>
      </c>
      <c r="E29" s="10" t="s">
        <v>82</v>
      </c>
      <c r="F29" s="10" t="s">
        <v>83</v>
      </c>
      <c r="G29" s="42">
        <v>0</v>
      </c>
      <c r="H29" s="42"/>
      <c r="I29" s="42">
        <f>IFERROR(Table2[[#This Row],[Column6]]*Table2[[#This Row],[Column7]], "missing")</f>
        <v>0</v>
      </c>
    </row>
    <row r="30" spans="1:9" x14ac:dyDescent="0.3">
      <c r="A30" s="35">
        <v>45046</v>
      </c>
      <c r="B30" s="10">
        <v>28</v>
      </c>
      <c r="C30" s="10" t="s">
        <v>49</v>
      </c>
      <c r="D30" s="10" t="s">
        <v>32</v>
      </c>
      <c r="E30" s="10" t="s">
        <v>84</v>
      </c>
      <c r="F30" s="10" t="s">
        <v>85</v>
      </c>
      <c r="G30" s="42">
        <v>85</v>
      </c>
      <c r="H30" s="42">
        <v>29.41</v>
      </c>
      <c r="I30" s="42">
        <f>IFERROR(Table2[[#This Row],[Column6]]*Table2[[#This Row],[Column7]], "missing")</f>
        <v>2499.85</v>
      </c>
    </row>
    <row r="31" spans="1:9" x14ac:dyDescent="0.3">
      <c r="A31" s="35" t="s">
        <v>100</v>
      </c>
      <c r="B31" s="10"/>
      <c r="C31" s="10"/>
      <c r="D31" s="10"/>
      <c r="E31" s="10"/>
      <c r="F31" s="10"/>
      <c r="G31" s="42"/>
      <c r="H31" s="42">
        <f>SUBTOTAL(103,Table2[Column7])</f>
        <v>23</v>
      </c>
      <c r="I31" s="42"/>
    </row>
  </sheetData>
  <phoneticPr fontId="12" type="noConversion"/>
  <dataValidations count="1">
    <dataValidation type="list" allowBlank="1" showInputMessage="1" showErrorMessage="1" sqref="D1:D30 D32:D1048576" xr:uid="{1AF44A17-1CFF-4895-AB0A-A3EF9355B84D}">
      <formula1>"North, South, West. East, Asgard,TBA"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5734-489B-46A6-A544-8AA604F694C5}">
  <dimension ref="A1:P33"/>
  <sheetViews>
    <sheetView workbookViewId="0">
      <selection activeCell="J1" sqref="J1"/>
    </sheetView>
  </sheetViews>
  <sheetFormatPr defaultRowHeight="14.4" x14ac:dyDescent="0.3"/>
  <cols>
    <col min="1" max="1" width="15" customWidth="1"/>
    <col min="2" max="2" width="3" bestFit="1" customWidth="1"/>
    <col min="3" max="3" width="17.5546875" bestFit="1" customWidth="1"/>
    <col min="4" max="4" width="7.109375" bestFit="1" customWidth="1"/>
    <col min="5" max="5" width="8.5546875" bestFit="1" customWidth="1"/>
    <col min="6" max="6" width="23.44140625" bestFit="1" customWidth="1"/>
    <col min="7" max="7" width="8.6640625" bestFit="1" customWidth="1"/>
    <col min="8" max="8" width="13.33203125" bestFit="1" customWidth="1"/>
  </cols>
  <sheetData>
    <row r="1" spans="1:16" s="7" customFormat="1" ht="45.75" customHeight="1" x14ac:dyDescent="0.4">
      <c r="A1" s="6" t="s">
        <v>86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3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</row>
    <row r="3" spans="1:16" x14ac:dyDescent="0.3">
      <c r="A3" s="9">
        <v>44227</v>
      </c>
      <c r="B3" s="10">
        <v>1</v>
      </c>
      <c r="C3" s="10" t="s">
        <v>18</v>
      </c>
      <c r="D3" s="10" t="s">
        <v>19</v>
      </c>
      <c r="E3" s="10" t="s">
        <v>20</v>
      </c>
      <c r="F3" s="10" t="s">
        <v>21</v>
      </c>
      <c r="G3" s="10">
        <v>10</v>
      </c>
      <c r="H3" s="11">
        <v>20</v>
      </c>
    </row>
    <row r="4" spans="1:16" x14ac:dyDescent="0.3">
      <c r="A4" s="9">
        <v>44255</v>
      </c>
      <c r="B4" s="10">
        <v>2</v>
      </c>
      <c r="C4" s="10" t="s">
        <v>22</v>
      </c>
      <c r="D4" s="10" t="s">
        <v>23</v>
      </c>
      <c r="E4" s="10" t="s">
        <v>24</v>
      </c>
      <c r="F4" s="10" t="s">
        <v>25</v>
      </c>
      <c r="G4" s="10">
        <v>15</v>
      </c>
      <c r="H4" s="11">
        <v>10</v>
      </c>
    </row>
    <row r="5" spans="1:16" x14ac:dyDescent="0.3">
      <c r="A5" s="9">
        <v>44286</v>
      </c>
      <c r="B5" s="10">
        <v>3</v>
      </c>
      <c r="C5" s="10" t="s">
        <v>26</v>
      </c>
      <c r="D5" s="10" t="s">
        <v>27</v>
      </c>
      <c r="E5" s="10" t="s">
        <v>28</v>
      </c>
      <c r="F5" s="10" t="s">
        <v>29</v>
      </c>
      <c r="G5" s="10">
        <v>0</v>
      </c>
      <c r="H5" s="10" t="s">
        <v>30</v>
      </c>
    </row>
    <row r="6" spans="1:16" x14ac:dyDescent="0.3">
      <c r="A6" s="9">
        <v>44316</v>
      </c>
      <c r="B6" s="10">
        <v>4</v>
      </c>
      <c r="C6" s="10" t="s">
        <v>31</v>
      </c>
      <c r="D6" s="10" t="s">
        <v>32</v>
      </c>
      <c r="E6" s="10" t="s">
        <v>33</v>
      </c>
      <c r="F6" s="10" t="s">
        <v>34</v>
      </c>
      <c r="G6" s="10">
        <v>25</v>
      </c>
      <c r="H6" s="11">
        <v>10</v>
      </c>
    </row>
    <row r="7" spans="1:16" x14ac:dyDescent="0.3">
      <c r="A7" s="9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10">
        <v>30</v>
      </c>
      <c r="H7" s="11">
        <v>16.670000000000002</v>
      </c>
    </row>
    <row r="8" spans="1:16" x14ac:dyDescent="0.3">
      <c r="A8" s="9">
        <v>44377</v>
      </c>
      <c r="B8" s="10">
        <v>6</v>
      </c>
      <c r="C8" s="10" t="s">
        <v>37</v>
      </c>
      <c r="D8" s="10"/>
      <c r="E8" s="10" t="s">
        <v>24</v>
      </c>
      <c r="F8" s="10" t="s">
        <v>38</v>
      </c>
      <c r="G8" s="10">
        <v>0</v>
      </c>
      <c r="H8" s="10" t="s">
        <v>30</v>
      </c>
    </row>
    <row r="9" spans="1:16" x14ac:dyDescent="0.3">
      <c r="A9" s="9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10">
        <v>35</v>
      </c>
      <c r="H9" s="11">
        <v>10</v>
      </c>
    </row>
    <row r="10" spans="1:16" x14ac:dyDescent="0.3">
      <c r="A10" s="9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10">
        <v>40</v>
      </c>
      <c r="H10" s="11">
        <v>15</v>
      </c>
    </row>
    <row r="11" spans="1:16" x14ac:dyDescent="0.3">
      <c r="A11" s="9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10">
        <v>45</v>
      </c>
      <c r="H11" s="11">
        <v>12.22</v>
      </c>
    </row>
    <row r="12" spans="1:16" x14ac:dyDescent="0.3">
      <c r="A12" s="9">
        <v>44500</v>
      </c>
      <c r="B12" s="10">
        <v>10</v>
      </c>
      <c r="C12" s="10" t="s">
        <v>45</v>
      </c>
      <c r="D12" s="10" t="s">
        <v>19</v>
      </c>
      <c r="E12" s="10" t="s">
        <v>24</v>
      </c>
      <c r="F12" s="10" t="s">
        <v>46</v>
      </c>
      <c r="G12" s="10">
        <v>50</v>
      </c>
      <c r="H12" s="11">
        <v>14</v>
      </c>
    </row>
    <row r="13" spans="1:16" x14ac:dyDescent="0.3">
      <c r="A13" s="9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10">
        <v>5</v>
      </c>
      <c r="H13" s="11">
        <v>160</v>
      </c>
    </row>
    <row r="14" spans="1:16" x14ac:dyDescent="0.3">
      <c r="A14" s="9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10">
        <v>20</v>
      </c>
      <c r="H14" s="11">
        <v>45</v>
      </c>
    </row>
    <row r="15" spans="1:16" x14ac:dyDescent="0.3">
      <c r="A15" s="9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10">
        <v>0</v>
      </c>
      <c r="H15" s="10" t="s">
        <v>30</v>
      </c>
    </row>
    <row r="16" spans="1:16" x14ac:dyDescent="0.3">
      <c r="A16" s="9">
        <v>44620</v>
      </c>
      <c r="B16" s="10">
        <v>14</v>
      </c>
      <c r="C16" s="10" t="s">
        <v>53</v>
      </c>
      <c r="D16" s="10"/>
      <c r="E16" s="10" t="s">
        <v>24</v>
      </c>
      <c r="F16" s="10" t="s">
        <v>54</v>
      </c>
      <c r="G16" s="10">
        <v>30</v>
      </c>
      <c r="H16" s="11">
        <v>36.67</v>
      </c>
    </row>
    <row r="17" spans="1:8" x14ac:dyDescent="0.3">
      <c r="A17" s="9">
        <v>44316</v>
      </c>
      <c r="B17" s="10">
        <v>4</v>
      </c>
      <c r="C17" s="10" t="s">
        <v>31</v>
      </c>
      <c r="D17" s="10" t="s">
        <v>32</v>
      </c>
      <c r="E17" s="10" t="s">
        <v>33</v>
      </c>
      <c r="F17" s="10" t="s">
        <v>34</v>
      </c>
      <c r="G17" s="10">
        <v>25</v>
      </c>
      <c r="H17" s="11">
        <v>10</v>
      </c>
    </row>
    <row r="18" spans="1:8" x14ac:dyDescent="0.3">
      <c r="A18" s="9">
        <v>44347</v>
      </c>
      <c r="B18" s="10">
        <v>5</v>
      </c>
      <c r="C18" s="10" t="s">
        <v>35</v>
      </c>
      <c r="D18" s="10" t="s">
        <v>23</v>
      </c>
      <c r="E18" s="10" t="s">
        <v>20</v>
      </c>
      <c r="F18" s="10" t="s">
        <v>36</v>
      </c>
      <c r="G18" s="10">
        <v>30</v>
      </c>
      <c r="H18" s="11">
        <v>16.670000000000002</v>
      </c>
    </row>
    <row r="19" spans="1:8" x14ac:dyDescent="0.3">
      <c r="A19" s="9">
        <v>44377</v>
      </c>
      <c r="B19" s="10">
        <v>6</v>
      </c>
      <c r="C19" s="10" t="s">
        <v>37</v>
      </c>
      <c r="D19" s="10"/>
      <c r="E19" s="10" t="s">
        <v>24</v>
      </c>
      <c r="F19" s="10" t="s">
        <v>38</v>
      </c>
      <c r="G19" s="10">
        <v>0</v>
      </c>
      <c r="H19" s="10" t="s">
        <v>30</v>
      </c>
    </row>
    <row r="20" spans="1:8" x14ac:dyDescent="0.3">
      <c r="A20" s="9">
        <v>44651</v>
      </c>
      <c r="B20" s="10">
        <v>15</v>
      </c>
      <c r="C20" s="10" t="s">
        <v>55</v>
      </c>
      <c r="D20" s="10" t="s">
        <v>27</v>
      </c>
      <c r="E20" s="10" t="s">
        <v>28</v>
      </c>
      <c r="F20" s="10" t="s">
        <v>56</v>
      </c>
      <c r="G20" s="10">
        <v>35</v>
      </c>
      <c r="H20" s="11">
        <v>34.29</v>
      </c>
    </row>
    <row r="21" spans="1:8" x14ac:dyDescent="0.3">
      <c r="A21" s="9">
        <v>44681</v>
      </c>
      <c r="B21" s="10">
        <v>16</v>
      </c>
      <c r="C21" s="10" t="s">
        <v>57</v>
      </c>
      <c r="D21" s="10"/>
      <c r="E21" s="10" t="s">
        <v>33</v>
      </c>
      <c r="F21" s="10" t="s">
        <v>58</v>
      </c>
      <c r="G21" s="10">
        <v>0</v>
      </c>
      <c r="H21" s="10" t="s">
        <v>30</v>
      </c>
    </row>
    <row r="22" spans="1:8" x14ac:dyDescent="0.3">
      <c r="A22" s="9">
        <v>44712</v>
      </c>
      <c r="B22" s="10">
        <v>17</v>
      </c>
      <c r="C22" s="10" t="s">
        <v>59</v>
      </c>
      <c r="D22" s="10" t="s">
        <v>23</v>
      </c>
      <c r="E22" s="10" t="s">
        <v>20</v>
      </c>
      <c r="F22" s="10" t="s">
        <v>60</v>
      </c>
      <c r="G22" s="10">
        <v>40</v>
      </c>
      <c r="H22" s="11">
        <v>35</v>
      </c>
    </row>
    <row r="23" spans="1:8" x14ac:dyDescent="0.3">
      <c r="A23" s="9">
        <v>44742</v>
      </c>
      <c r="B23" s="10">
        <v>18</v>
      </c>
      <c r="C23" s="10" t="s">
        <v>61</v>
      </c>
      <c r="D23" s="10" t="s">
        <v>19</v>
      </c>
      <c r="E23" s="10" t="s">
        <v>24</v>
      </c>
      <c r="F23" s="10" t="s">
        <v>62</v>
      </c>
      <c r="G23" s="10">
        <v>45</v>
      </c>
      <c r="H23" s="11">
        <v>33.33</v>
      </c>
    </row>
    <row r="24" spans="1:8" x14ac:dyDescent="0.3">
      <c r="A24" s="9">
        <v>44773</v>
      </c>
      <c r="B24" s="10">
        <v>19</v>
      </c>
      <c r="C24" s="10" t="s">
        <v>63</v>
      </c>
      <c r="D24" s="10" t="s">
        <v>27</v>
      </c>
      <c r="E24" s="10" t="s">
        <v>28</v>
      </c>
      <c r="F24" s="10" t="s">
        <v>64</v>
      </c>
      <c r="G24" s="10">
        <v>50</v>
      </c>
      <c r="H24" s="11">
        <v>32</v>
      </c>
    </row>
    <row r="25" spans="1:8" x14ac:dyDescent="0.3">
      <c r="A25" s="9">
        <v>44804</v>
      </c>
      <c r="B25" s="10">
        <v>20</v>
      </c>
      <c r="C25" s="10" t="s">
        <v>65</v>
      </c>
      <c r="D25" s="10" t="s">
        <v>32</v>
      </c>
      <c r="E25" s="10" t="s">
        <v>33</v>
      </c>
      <c r="F25" s="10" t="s">
        <v>66</v>
      </c>
      <c r="G25" s="10">
        <v>55</v>
      </c>
      <c r="H25" s="11">
        <v>30.91</v>
      </c>
    </row>
    <row r="26" spans="1:8" x14ac:dyDescent="0.3">
      <c r="A26" s="9">
        <v>44834</v>
      </c>
      <c r="B26" s="10">
        <v>21</v>
      </c>
      <c r="C26" s="10" t="s">
        <v>67</v>
      </c>
      <c r="D26" s="10" t="s">
        <v>23</v>
      </c>
      <c r="E26" s="10" t="s">
        <v>20</v>
      </c>
      <c r="F26" s="10" t="s">
        <v>68</v>
      </c>
      <c r="G26" s="10">
        <v>60</v>
      </c>
      <c r="H26" s="11">
        <v>30</v>
      </c>
    </row>
    <row r="27" spans="1:8" x14ac:dyDescent="0.3">
      <c r="A27" s="9">
        <v>44865</v>
      </c>
      <c r="B27" s="10">
        <v>22</v>
      </c>
      <c r="C27" s="10" t="s">
        <v>69</v>
      </c>
      <c r="D27" s="10" t="s">
        <v>19</v>
      </c>
      <c r="E27" s="10" t="s">
        <v>24</v>
      </c>
      <c r="F27" s="10" t="s">
        <v>70</v>
      </c>
      <c r="G27" s="10">
        <v>0</v>
      </c>
      <c r="H27" s="10" t="s">
        <v>30</v>
      </c>
    </row>
    <row r="28" spans="1:8" x14ac:dyDescent="0.3">
      <c r="A28" s="9">
        <v>44895</v>
      </c>
      <c r="B28" s="10">
        <v>23</v>
      </c>
      <c r="C28" s="10" t="s">
        <v>71</v>
      </c>
      <c r="D28" s="10" t="s">
        <v>27</v>
      </c>
      <c r="E28" s="10" t="s">
        <v>28</v>
      </c>
      <c r="F28" s="10" t="s">
        <v>72</v>
      </c>
      <c r="G28" s="10">
        <v>65</v>
      </c>
      <c r="H28" s="11">
        <v>30.77</v>
      </c>
    </row>
    <row r="29" spans="1:8" x14ac:dyDescent="0.3">
      <c r="A29" s="9">
        <v>44926</v>
      </c>
      <c r="B29" s="10">
        <v>24</v>
      </c>
      <c r="C29" s="10" t="s">
        <v>73</v>
      </c>
      <c r="D29" s="10" t="s">
        <v>32</v>
      </c>
      <c r="E29" s="10" t="s">
        <v>33</v>
      </c>
      <c r="F29" s="10" t="s">
        <v>74</v>
      </c>
      <c r="G29" s="10">
        <v>70</v>
      </c>
      <c r="H29" s="11">
        <v>30</v>
      </c>
    </row>
    <row r="30" spans="1:8" x14ac:dyDescent="0.3">
      <c r="A30" s="9">
        <v>44957</v>
      </c>
      <c r="B30" s="10">
        <v>25</v>
      </c>
      <c r="C30" s="10" t="s">
        <v>75</v>
      </c>
      <c r="D30" s="10" t="s">
        <v>76</v>
      </c>
      <c r="E30" s="10" t="s">
        <v>77</v>
      </c>
      <c r="F30" s="10" t="s">
        <v>78</v>
      </c>
      <c r="G30" s="10">
        <v>75</v>
      </c>
      <c r="H30" s="11">
        <v>29.33</v>
      </c>
    </row>
    <row r="31" spans="1:8" x14ac:dyDescent="0.3">
      <c r="A31" s="9">
        <v>44985</v>
      </c>
      <c r="B31" s="10">
        <v>26</v>
      </c>
      <c r="C31" s="10" t="s">
        <v>79</v>
      </c>
      <c r="D31" s="10" t="s">
        <v>76</v>
      </c>
      <c r="E31" s="10" t="s">
        <v>80</v>
      </c>
      <c r="F31" s="10" t="s">
        <v>81</v>
      </c>
      <c r="G31" s="10">
        <v>80</v>
      </c>
      <c r="H31" s="11">
        <v>28.75</v>
      </c>
    </row>
    <row r="32" spans="1:8" x14ac:dyDescent="0.3">
      <c r="A32" s="9">
        <v>45016</v>
      </c>
      <c r="B32" s="10">
        <v>27</v>
      </c>
      <c r="C32" s="10" t="s">
        <v>51</v>
      </c>
      <c r="D32" s="10" t="s">
        <v>23</v>
      </c>
      <c r="E32" s="10" t="s">
        <v>82</v>
      </c>
      <c r="F32" s="10" t="s">
        <v>83</v>
      </c>
      <c r="G32" s="10">
        <v>0</v>
      </c>
      <c r="H32" s="10" t="s">
        <v>30</v>
      </c>
    </row>
    <row r="33" spans="1:8" x14ac:dyDescent="0.3">
      <c r="A33" s="9">
        <v>45046</v>
      </c>
      <c r="B33" s="10">
        <v>28</v>
      </c>
      <c r="C33" s="10" t="s">
        <v>49</v>
      </c>
      <c r="D33" s="10" t="s">
        <v>32</v>
      </c>
      <c r="E33" s="10" t="s">
        <v>84</v>
      </c>
      <c r="F33" s="10" t="s">
        <v>85</v>
      </c>
      <c r="G33" s="10">
        <v>85</v>
      </c>
      <c r="H33" s="11">
        <v>29.41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FCDA3-B3FA-48A9-9C6C-19BC0B87ADBF}">
  <dimension ref="A1:P33"/>
  <sheetViews>
    <sheetView workbookViewId="0">
      <selection activeCell="G10" sqref="G10"/>
    </sheetView>
  </sheetViews>
  <sheetFormatPr defaultRowHeight="14.4" x14ac:dyDescent="0.3"/>
  <cols>
    <col min="1" max="1" width="16" customWidth="1"/>
    <col min="2" max="2" width="3" bestFit="1" customWidth="1"/>
    <col min="3" max="3" width="17.5546875" bestFit="1" customWidth="1"/>
    <col min="4" max="4" width="7.109375" bestFit="1" customWidth="1"/>
    <col min="5" max="5" width="8.5546875" bestFit="1" customWidth="1"/>
    <col min="6" max="6" width="23.44140625" bestFit="1" customWidth="1"/>
    <col min="7" max="7" width="8.6640625" bestFit="1" customWidth="1"/>
    <col min="8" max="8" width="13.33203125" bestFit="1" customWidth="1"/>
  </cols>
  <sheetData>
    <row r="1" spans="1:16" s="7" customFormat="1" ht="48.75" customHeight="1" x14ac:dyDescent="0.4">
      <c r="A1" s="6" t="s">
        <v>87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3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</row>
    <row r="3" spans="1:16" x14ac:dyDescent="0.3">
      <c r="A3" s="9">
        <v>44227</v>
      </c>
      <c r="B3" s="10">
        <v>1</v>
      </c>
      <c r="C3" s="10" t="s">
        <v>18</v>
      </c>
      <c r="D3" s="10" t="s">
        <v>19</v>
      </c>
      <c r="E3" s="10" t="s">
        <v>20</v>
      </c>
      <c r="F3" s="10" t="s">
        <v>21</v>
      </c>
      <c r="G3" s="10">
        <v>10</v>
      </c>
      <c r="H3" s="11">
        <v>20</v>
      </c>
    </row>
    <row r="4" spans="1:16" x14ac:dyDescent="0.3">
      <c r="A4" s="9">
        <v>44255</v>
      </c>
      <c r="B4" s="10">
        <v>2</v>
      </c>
      <c r="C4" s="10" t="s">
        <v>22</v>
      </c>
      <c r="D4" s="10" t="s">
        <v>23</v>
      </c>
      <c r="E4" s="10" t="s">
        <v>24</v>
      </c>
      <c r="F4" s="10" t="s">
        <v>25</v>
      </c>
      <c r="G4" s="10">
        <v>15</v>
      </c>
      <c r="H4" s="11">
        <v>10</v>
      </c>
    </row>
    <row r="5" spans="1:16" x14ac:dyDescent="0.3">
      <c r="A5" s="9">
        <v>44286</v>
      </c>
      <c r="B5" s="10">
        <v>3</v>
      </c>
      <c r="C5" s="10" t="s">
        <v>26</v>
      </c>
      <c r="D5" s="10" t="s">
        <v>27</v>
      </c>
      <c r="E5" s="10" t="s">
        <v>28</v>
      </c>
      <c r="F5" s="10" t="s">
        <v>29</v>
      </c>
      <c r="G5" s="10">
        <v>0</v>
      </c>
      <c r="H5" s="10" t="s">
        <v>30</v>
      </c>
    </row>
    <row r="6" spans="1:16" x14ac:dyDescent="0.3">
      <c r="A6" s="9">
        <v>44316</v>
      </c>
      <c r="B6" s="10">
        <v>4</v>
      </c>
      <c r="C6" s="10" t="s">
        <v>31</v>
      </c>
      <c r="D6" s="10" t="s">
        <v>32</v>
      </c>
      <c r="E6" s="10" t="s">
        <v>33</v>
      </c>
      <c r="F6" s="10" t="s">
        <v>34</v>
      </c>
      <c r="G6" s="10">
        <v>25</v>
      </c>
      <c r="H6" s="11">
        <v>10</v>
      </c>
    </row>
    <row r="7" spans="1:16" x14ac:dyDescent="0.3">
      <c r="A7" s="9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10">
        <v>30</v>
      </c>
      <c r="H7" s="11">
        <v>16.670000000000002</v>
      </c>
    </row>
    <row r="8" spans="1:16" x14ac:dyDescent="0.3">
      <c r="A8" s="9">
        <v>44377</v>
      </c>
      <c r="B8" s="10">
        <v>6</v>
      </c>
      <c r="C8" s="10" t="s">
        <v>37</v>
      </c>
      <c r="D8" s="10"/>
      <c r="E8" s="10" t="s">
        <v>24</v>
      </c>
      <c r="F8" s="10" t="s">
        <v>38</v>
      </c>
      <c r="G8" s="10">
        <v>0</v>
      </c>
      <c r="H8" s="10" t="s">
        <v>30</v>
      </c>
    </row>
    <row r="9" spans="1:16" x14ac:dyDescent="0.3">
      <c r="A9" s="9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10">
        <v>35</v>
      </c>
      <c r="H9" s="11">
        <v>10</v>
      </c>
    </row>
    <row r="10" spans="1:16" x14ac:dyDescent="0.3">
      <c r="A10" s="9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10">
        <v>40</v>
      </c>
      <c r="H10" s="11">
        <v>15</v>
      </c>
    </row>
    <row r="11" spans="1:16" x14ac:dyDescent="0.3">
      <c r="A11" s="9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10">
        <v>45</v>
      </c>
      <c r="H11" s="11">
        <v>12.22</v>
      </c>
    </row>
    <row r="12" spans="1:16" x14ac:dyDescent="0.3">
      <c r="A12" s="9">
        <v>44500</v>
      </c>
      <c r="B12" s="10">
        <v>10</v>
      </c>
      <c r="C12" s="10" t="s">
        <v>45</v>
      </c>
      <c r="D12" s="10" t="s">
        <v>19</v>
      </c>
      <c r="E12" s="10" t="s">
        <v>24</v>
      </c>
      <c r="F12" s="10" t="s">
        <v>46</v>
      </c>
      <c r="G12" s="10">
        <v>50</v>
      </c>
      <c r="H12" s="11">
        <v>14</v>
      </c>
    </row>
    <row r="13" spans="1:16" x14ac:dyDescent="0.3">
      <c r="A13" s="9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10">
        <v>5</v>
      </c>
      <c r="H13" s="11">
        <v>160</v>
      </c>
    </row>
    <row r="14" spans="1:16" x14ac:dyDescent="0.3">
      <c r="A14" s="9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10">
        <v>20</v>
      </c>
      <c r="H14" s="11">
        <v>45</v>
      </c>
    </row>
    <row r="15" spans="1:16" x14ac:dyDescent="0.3">
      <c r="A15" s="9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10">
        <v>0</v>
      </c>
      <c r="H15" s="10" t="s">
        <v>30</v>
      </c>
    </row>
    <row r="16" spans="1:16" x14ac:dyDescent="0.3">
      <c r="A16" s="9">
        <v>44620</v>
      </c>
      <c r="B16" s="10">
        <v>14</v>
      </c>
      <c r="C16" s="10" t="s">
        <v>53</v>
      </c>
      <c r="D16" s="10"/>
      <c r="E16" s="10" t="s">
        <v>24</v>
      </c>
      <c r="F16" s="10" t="s">
        <v>54</v>
      </c>
      <c r="G16" s="10">
        <v>30</v>
      </c>
      <c r="H16" s="11">
        <v>36.67</v>
      </c>
    </row>
    <row r="17" spans="1:8" x14ac:dyDescent="0.3">
      <c r="A17" s="9">
        <v>44316</v>
      </c>
      <c r="B17" s="10">
        <v>4</v>
      </c>
      <c r="C17" s="10" t="s">
        <v>31</v>
      </c>
      <c r="D17" s="10" t="s">
        <v>32</v>
      </c>
      <c r="E17" s="10" t="s">
        <v>33</v>
      </c>
      <c r="F17" s="10" t="s">
        <v>34</v>
      </c>
      <c r="G17" s="10">
        <v>25</v>
      </c>
      <c r="H17" s="11">
        <v>10</v>
      </c>
    </row>
    <row r="18" spans="1:8" x14ac:dyDescent="0.3">
      <c r="A18" s="9">
        <v>44347</v>
      </c>
      <c r="B18" s="10">
        <v>5</v>
      </c>
      <c r="C18" s="10" t="s">
        <v>35</v>
      </c>
      <c r="D18" s="10" t="s">
        <v>23</v>
      </c>
      <c r="E18" s="10" t="s">
        <v>20</v>
      </c>
      <c r="F18" s="10" t="s">
        <v>36</v>
      </c>
      <c r="G18" s="10">
        <v>30</v>
      </c>
      <c r="H18" s="11">
        <v>16.670000000000002</v>
      </c>
    </row>
    <row r="19" spans="1:8" x14ac:dyDescent="0.3">
      <c r="A19" s="9">
        <v>44377</v>
      </c>
      <c r="B19" s="10">
        <v>6</v>
      </c>
      <c r="C19" s="10" t="s">
        <v>37</v>
      </c>
      <c r="D19" s="10"/>
      <c r="E19" s="10" t="s">
        <v>24</v>
      </c>
      <c r="F19" s="10" t="s">
        <v>38</v>
      </c>
      <c r="G19" s="10">
        <v>0</v>
      </c>
      <c r="H19" s="10" t="s">
        <v>30</v>
      </c>
    </row>
    <row r="20" spans="1:8" x14ac:dyDescent="0.3">
      <c r="A20" s="9">
        <v>44651</v>
      </c>
      <c r="B20" s="10">
        <v>15</v>
      </c>
      <c r="C20" s="10" t="s">
        <v>55</v>
      </c>
      <c r="D20" s="10" t="s">
        <v>27</v>
      </c>
      <c r="E20" s="10" t="s">
        <v>28</v>
      </c>
      <c r="F20" s="10" t="s">
        <v>56</v>
      </c>
      <c r="G20" s="10">
        <v>35</v>
      </c>
      <c r="H20" s="11">
        <v>34.29</v>
      </c>
    </row>
    <row r="21" spans="1:8" x14ac:dyDescent="0.3">
      <c r="A21" s="9">
        <v>44681</v>
      </c>
      <c r="B21" s="10">
        <v>16</v>
      </c>
      <c r="C21" s="10" t="s">
        <v>57</v>
      </c>
      <c r="D21" s="10"/>
      <c r="E21" s="10" t="s">
        <v>33</v>
      </c>
      <c r="F21" s="10" t="s">
        <v>58</v>
      </c>
      <c r="G21" s="10">
        <v>0</v>
      </c>
      <c r="H21" s="10" t="s">
        <v>30</v>
      </c>
    </row>
    <row r="22" spans="1:8" x14ac:dyDescent="0.3">
      <c r="A22" s="9">
        <v>44712</v>
      </c>
      <c r="B22" s="10">
        <v>17</v>
      </c>
      <c r="C22" s="10" t="s">
        <v>59</v>
      </c>
      <c r="D22" s="10" t="s">
        <v>23</v>
      </c>
      <c r="E22" s="10" t="s">
        <v>20</v>
      </c>
      <c r="F22" s="10" t="s">
        <v>60</v>
      </c>
      <c r="G22" s="10">
        <v>40</v>
      </c>
      <c r="H22" s="11">
        <v>35</v>
      </c>
    </row>
    <row r="23" spans="1:8" x14ac:dyDescent="0.3">
      <c r="A23" s="9">
        <v>44742</v>
      </c>
      <c r="B23" s="10">
        <v>18</v>
      </c>
      <c r="C23" s="10" t="s">
        <v>61</v>
      </c>
      <c r="D23" s="10" t="s">
        <v>19</v>
      </c>
      <c r="E23" s="10" t="s">
        <v>24</v>
      </c>
      <c r="F23" s="10" t="s">
        <v>62</v>
      </c>
      <c r="G23" s="10">
        <v>45</v>
      </c>
      <c r="H23" s="11">
        <v>33.33</v>
      </c>
    </row>
    <row r="24" spans="1:8" x14ac:dyDescent="0.3">
      <c r="A24" s="9">
        <v>44773</v>
      </c>
      <c r="B24" s="10">
        <v>19</v>
      </c>
      <c r="C24" s="10" t="s">
        <v>63</v>
      </c>
      <c r="D24" s="10" t="s">
        <v>27</v>
      </c>
      <c r="E24" s="10" t="s">
        <v>28</v>
      </c>
      <c r="F24" s="10" t="s">
        <v>64</v>
      </c>
      <c r="G24" s="10">
        <v>50</v>
      </c>
      <c r="H24" s="11">
        <v>32</v>
      </c>
    </row>
    <row r="25" spans="1:8" x14ac:dyDescent="0.3">
      <c r="A25" s="9">
        <v>44804</v>
      </c>
      <c r="B25" s="10">
        <v>20</v>
      </c>
      <c r="C25" s="10" t="s">
        <v>65</v>
      </c>
      <c r="D25" s="10" t="s">
        <v>32</v>
      </c>
      <c r="E25" s="10" t="s">
        <v>33</v>
      </c>
      <c r="F25" s="10" t="s">
        <v>66</v>
      </c>
      <c r="G25" s="10">
        <v>55</v>
      </c>
      <c r="H25" s="11">
        <v>30.91</v>
      </c>
    </row>
    <row r="26" spans="1:8" x14ac:dyDescent="0.3">
      <c r="A26" s="9">
        <v>44834</v>
      </c>
      <c r="B26" s="10">
        <v>21</v>
      </c>
      <c r="C26" s="10" t="s">
        <v>67</v>
      </c>
      <c r="D26" s="10" t="s">
        <v>23</v>
      </c>
      <c r="E26" s="10" t="s">
        <v>20</v>
      </c>
      <c r="F26" s="10" t="s">
        <v>68</v>
      </c>
      <c r="G26" s="10">
        <v>60</v>
      </c>
      <c r="H26" s="11">
        <v>30</v>
      </c>
    </row>
    <row r="27" spans="1:8" x14ac:dyDescent="0.3">
      <c r="A27" s="9">
        <v>44865</v>
      </c>
      <c r="B27" s="10">
        <v>22</v>
      </c>
      <c r="C27" s="10" t="s">
        <v>69</v>
      </c>
      <c r="D27" s="10" t="s">
        <v>19</v>
      </c>
      <c r="E27" s="10" t="s">
        <v>24</v>
      </c>
      <c r="F27" s="10" t="s">
        <v>70</v>
      </c>
      <c r="G27" s="10">
        <v>0</v>
      </c>
      <c r="H27" s="10" t="s">
        <v>30</v>
      </c>
    </row>
    <row r="28" spans="1:8" x14ac:dyDescent="0.3">
      <c r="A28" s="9">
        <v>44895</v>
      </c>
      <c r="B28" s="10">
        <v>23</v>
      </c>
      <c r="C28" s="10" t="s">
        <v>71</v>
      </c>
      <c r="D28" s="10" t="s">
        <v>27</v>
      </c>
      <c r="E28" s="10" t="s">
        <v>28</v>
      </c>
      <c r="F28" s="10" t="s">
        <v>72</v>
      </c>
      <c r="G28" s="10">
        <v>65</v>
      </c>
      <c r="H28" s="11">
        <v>30.77</v>
      </c>
    </row>
    <row r="29" spans="1:8" x14ac:dyDescent="0.3">
      <c r="A29" s="9">
        <v>44926</v>
      </c>
      <c r="B29" s="10">
        <v>24</v>
      </c>
      <c r="C29" s="10" t="s">
        <v>73</v>
      </c>
      <c r="D29" s="10" t="s">
        <v>32</v>
      </c>
      <c r="E29" s="10" t="s">
        <v>33</v>
      </c>
      <c r="F29" s="10" t="s">
        <v>74</v>
      </c>
      <c r="G29" s="10">
        <v>70</v>
      </c>
      <c r="H29" s="11">
        <v>30</v>
      </c>
    </row>
    <row r="30" spans="1:8" x14ac:dyDescent="0.3">
      <c r="A30" s="9">
        <v>44957</v>
      </c>
      <c r="B30" s="10">
        <v>25</v>
      </c>
      <c r="C30" s="10" t="s">
        <v>75</v>
      </c>
      <c r="D30" s="10" t="s">
        <v>76</v>
      </c>
      <c r="E30" s="10" t="s">
        <v>77</v>
      </c>
      <c r="F30" s="10" t="s">
        <v>78</v>
      </c>
      <c r="G30" s="10">
        <v>75</v>
      </c>
      <c r="H30" s="11">
        <v>29.33</v>
      </c>
    </row>
    <row r="31" spans="1:8" x14ac:dyDescent="0.3">
      <c r="A31" s="9">
        <v>44985</v>
      </c>
      <c r="B31" s="10">
        <v>26</v>
      </c>
      <c r="C31" s="10" t="s">
        <v>79</v>
      </c>
      <c r="D31" s="10" t="s">
        <v>76</v>
      </c>
      <c r="E31" s="10" t="s">
        <v>80</v>
      </c>
      <c r="F31" s="10" t="s">
        <v>81</v>
      </c>
      <c r="G31" s="10">
        <v>80</v>
      </c>
      <c r="H31" s="11">
        <v>28.75</v>
      </c>
    </row>
    <row r="32" spans="1:8" x14ac:dyDescent="0.3">
      <c r="A32" s="9">
        <v>45016</v>
      </c>
      <c r="B32" s="10">
        <v>27</v>
      </c>
      <c r="C32" s="10" t="s">
        <v>51</v>
      </c>
      <c r="D32" s="10" t="s">
        <v>23</v>
      </c>
      <c r="E32" s="10" t="s">
        <v>82</v>
      </c>
      <c r="F32" s="10" t="s">
        <v>83</v>
      </c>
      <c r="G32" s="10">
        <v>0</v>
      </c>
      <c r="H32" s="10" t="s">
        <v>30</v>
      </c>
    </row>
    <row r="33" spans="1:8" x14ac:dyDescent="0.3">
      <c r="A33" s="9">
        <v>45046</v>
      </c>
      <c r="B33" s="10">
        <v>28</v>
      </c>
      <c r="C33" s="10" t="s">
        <v>49</v>
      </c>
      <c r="D33" s="10" t="s">
        <v>32</v>
      </c>
      <c r="E33" s="10" t="s">
        <v>84</v>
      </c>
      <c r="F33" s="10" t="s">
        <v>85</v>
      </c>
      <c r="G33" s="10">
        <v>85</v>
      </c>
      <c r="H33" s="11">
        <v>29.41</v>
      </c>
    </row>
  </sheetData>
  <conditionalFormatting sqref="B2:B33">
    <cfRule type="duplicateValues" dxfId="19" priority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E524-A30F-496C-A3C4-BFF4729B79F6}">
  <dimension ref="A1:P30"/>
  <sheetViews>
    <sheetView workbookViewId="0">
      <selection activeCell="H32" sqref="H32"/>
    </sheetView>
  </sheetViews>
  <sheetFormatPr defaultRowHeight="14.4" x14ac:dyDescent="0.3"/>
  <cols>
    <col min="1" max="1" width="14.88671875" bestFit="1" customWidth="1"/>
    <col min="2" max="2" width="3" bestFit="1" customWidth="1"/>
    <col min="3" max="3" width="17.5546875" bestFit="1" customWidth="1"/>
    <col min="4" max="4" width="7.109375" bestFit="1" customWidth="1"/>
    <col min="5" max="5" width="8.5546875" bestFit="1" customWidth="1"/>
    <col min="6" max="6" width="23.44140625" bestFit="1" customWidth="1"/>
    <col min="7" max="7" width="8.6640625" bestFit="1" customWidth="1"/>
    <col min="8" max="8" width="13.33203125" bestFit="1" customWidth="1"/>
    <col min="9" max="9" width="17.5546875" bestFit="1" customWidth="1"/>
  </cols>
  <sheetData>
    <row r="1" spans="1:16" s="7" customFormat="1" ht="48.75" customHeight="1" x14ac:dyDescent="0.4">
      <c r="A1" s="6" t="s">
        <v>88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3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  <c r="I2" s="8" t="s">
        <v>89</v>
      </c>
    </row>
    <row r="3" spans="1:16" x14ac:dyDescent="0.3">
      <c r="A3" s="9">
        <v>44227</v>
      </c>
      <c r="B3" s="10">
        <v>1</v>
      </c>
      <c r="C3" s="10" t="s">
        <v>18</v>
      </c>
      <c r="D3" s="10" t="s">
        <v>19</v>
      </c>
      <c r="E3" s="10" t="s">
        <v>20</v>
      </c>
      <c r="F3" s="10" t="s">
        <v>21</v>
      </c>
      <c r="G3" s="10">
        <v>10</v>
      </c>
      <c r="H3" s="11">
        <v>20</v>
      </c>
      <c r="I3" t="str">
        <f>TRIM(C3)</f>
        <v>John Smith</v>
      </c>
    </row>
    <row r="4" spans="1:16" x14ac:dyDescent="0.3">
      <c r="A4" s="9">
        <v>44255</v>
      </c>
      <c r="B4" s="10">
        <v>2</v>
      </c>
      <c r="C4" s="10" t="s">
        <v>22</v>
      </c>
      <c r="D4" s="10" t="s">
        <v>23</v>
      </c>
      <c r="E4" s="10" t="s">
        <v>24</v>
      </c>
      <c r="F4" s="10" t="s">
        <v>25</v>
      </c>
      <c r="G4" s="10">
        <v>15</v>
      </c>
      <c r="H4" s="11">
        <v>10</v>
      </c>
      <c r="I4" t="str">
        <f t="shared" ref="I4:I30" si="0">TRIM(C4)</f>
        <v>Jane Doe</v>
      </c>
    </row>
    <row r="5" spans="1:16" x14ac:dyDescent="0.3">
      <c r="A5" s="9">
        <v>44286</v>
      </c>
      <c r="B5" s="10">
        <v>3</v>
      </c>
      <c r="C5" s="10" t="s">
        <v>26</v>
      </c>
      <c r="D5" s="10" t="s">
        <v>27</v>
      </c>
      <c r="E5" s="10" t="s">
        <v>28</v>
      </c>
      <c r="F5" s="10" t="s">
        <v>29</v>
      </c>
      <c r="G5" s="10">
        <v>0</v>
      </c>
      <c r="H5" s="10" t="s">
        <v>30</v>
      </c>
      <c r="I5" t="str">
        <f t="shared" si="0"/>
        <v>Mike Tyson</v>
      </c>
    </row>
    <row r="6" spans="1:16" x14ac:dyDescent="0.3">
      <c r="A6" s="9">
        <v>44316</v>
      </c>
      <c r="B6" s="10">
        <v>4</v>
      </c>
      <c r="C6" s="10" t="s">
        <v>31</v>
      </c>
      <c r="D6" s="10" t="s">
        <v>32</v>
      </c>
      <c r="E6" s="10" t="s">
        <v>33</v>
      </c>
      <c r="F6" s="10" t="s">
        <v>34</v>
      </c>
      <c r="G6" s="10">
        <v>25</v>
      </c>
      <c r="H6" s="11">
        <v>10</v>
      </c>
      <c r="I6" t="str">
        <f t="shared" si="0"/>
        <v>Anna Belle</v>
      </c>
    </row>
    <row r="7" spans="1:16" x14ac:dyDescent="0.3">
      <c r="A7" s="9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10">
        <v>30</v>
      </c>
      <c r="H7" s="11">
        <v>16.670000000000002</v>
      </c>
      <c r="I7" t="str">
        <f t="shared" si="0"/>
        <v>Chris P. Bacon</v>
      </c>
    </row>
    <row r="8" spans="1:16" x14ac:dyDescent="0.3">
      <c r="A8" s="9">
        <v>44377</v>
      </c>
      <c r="B8" s="10">
        <v>6</v>
      </c>
      <c r="C8" s="10" t="s">
        <v>37</v>
      </c>
      <c r="D8" s="10"/>
      <c r="E8" s="10" t="s">
        <v>24</v>
      </c>
      <c r="F8" s="10" t="s">
        <v>38</v>
      </c>
      <c r="G8" s="10">
        <v>0</v>
      </c>
      <c r="H8" s="10" t="s">
        <v>30</v>
      </c>
      <c r="I8" t="str">
        <f t="shared" si="0"/>
        <v>Peter Parker</v>
      </c>
    </row>
    <row r="9" spans="1:16" x14ac:dyDescent="0.3">
      <c r="A9" s="9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10">
        <v>35</v>
      </c>
      <c r="H9" s="11">
        <v>10</v>
      </c>
      <c r="I9" t="str">
        <f t="shared" si="0"/>
        <v>Mary Jane</v>
      </c>
    </row>
    <row r="10" spans="1:16" x14ac:dyDescent="0.3">
      <c r="A10" s="9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10">
        <v>40</v>
      </c>
      <c r="H10" s="11">
        <v>15</v>
      </c>
      <c r="I10" t="str">
        <f t="shared" si="0"/>
        <v>Bruce Wayne</v>
      </c>
    </row>
    <row r="11" spans="1:16" x14ac:dyDescent="0.3">
      <c r="A11" s="9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10">
        <v>45</v>
      </c>
      <c r="H11" s="11">
        <v>12.22</v>
      </c>
      <c r="I11" t="str">
        <f t="shared" si="0"/>
        <v>Clark Kent</v>
      </c>
    </row>
    <row r="12" spans="1:16" x14ac:dyDescent="0.3">
      <c r="A12" s="9">
        <v>44500</v>
      </c>
      <c r="B12" s="10">
        <v>10</v>
      </c>
      <c r="C12" s="10" t="s">
        <v>45</v>
      </c>
      <c r="D12" s="10" t="s">
        <v>19</v>
      </c>
      <c r="E12" s="10" t="s">
        <v>24</v>
      </c>
      <c r="F12" s="10" t="s">
        <v>46</v>
      </c>
      <c r="G12" s="10">
        <v>50</v>
      </c>
      <c r="H12" s="11">
        <v>14</v>
      </c>
      <c r="I12" t="str">
        <f t="shared" si="0"/>
        <v>Diana Prince</v>
      </c>
    </row>
    <row r="13" spans="1:16" x14ac:dyDescent="0.3">
      <c r="A13" s="9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10">
        <v>5</v>
      </c>
      <c r="H13" s="11">
        <v>160</v>
      </c>
      <c r="I13" t="str">
        <f t="shared" si="0"/>
        <v>Tony Stark</v>
      </c>
    </row>
    <row r="14" spans="1:16" x14ac:dyDescent="0.3">
      <c r="A14" s="9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10">
        <v>20</v>
      </c>
      <c r="H14" s="11">
        <v>45</v>
      </c>
      <c r="I14" t="str">
        <f t="shared" si="0"/>
        <v>Steve Rogers</v>
      </c>
    </row>
    <row r="15" spans="1:16" x14ac:dyDescent="0.3">
      <c r="A15" s="9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10">
        <v>0</v>
      </c>
      <c r="H15" s="10" t="s">
        <v>30</v>
      </c>
      <c r="I15" t="str">
        <f t="shared" si="0"/>
        <v>Natasha Romanoff</v>
      </c>
    </row>
    <row r="16" spans="1:16" x14ac:dyDescent="0.3">
      <c r="A16" s="9">
        <v>44620</v>
      </c>
      <c r="B16" s="10">
        <v>14</v>
      </c>
      <c r="C16" s="10" t="s">
        <v>53</v>
      </c>
      <c r="D16" s="10"/>
      <c r="E16" s="10" t="s">
        <v>24</v>
      </c>
      <c r="F16" s="10" t="s">
        <v>54</v>
      </c>
      <c r="G16" s="10">
        <v>30</v>
      </c>
      <c r="H16" s="11">
        <v>36.67</v>
      </c>
      <c r="I16" t="str">
        <f t="shared" si="0"/>
        <v>Bruce Banner</v>
      </c>
    </row>
    <row r="17" spans="1:9" x14ac:dyDescent="0.3">
      <c r="A17" s="9">
        <v>44651</v>
      </c>
      <c r="B17" s="10">
        <v>15</v>
      </c>
      <c r="C17" s="10" t="s">
        <v>55</v>
      </c>
      <c r="D17" s="10" t="s">
        <v>27</v>
      </c>
      <c r="E17" s="10" t="s">
        <v>28</v>
      </c>
      <c r="F17" s="10" t="s">
        <v>56</v>
      </c>
      <c r="G17" s="10">
        <v>35</v>
      </c>
      <c r="H17" s="11">
        <v>34.29</v>
      </c>
      <c r="I17" t="str">
        <f t="shared" si="0"/>
        <v>Nick Fury</v>
      </c>
    </row>
    <row r="18" spans="1:9" x14ac:dyDescent="0.3">
      <c r="A18" s="9">
        <v>44681</v>
      </c>
      <c r="B18" s="10">
        <v>16</v>
      </c>
      <c r="C18" s="10" t="s">
        <v>57</v>
      </c>
      <c r="D18" s="10"/>
      <c r="E18" s="10" t="s">
        <v>33</v>
      </c>
      <c r="F18" s="10" t="s">
        <v>58</v>
      </c>
      <c r="G18" s="10">
        <v>0</v>
      </c>
      <c r="H18" s="10" t="s">
        <v>30</v>
      </c>
      <c r="I18" t="str">
        <f t="shared" si="0"/>
        <v>Phil Coulson</v>
      </c>
    </row>
    <row r="19" spans="1:9" x14ac:dyDescent="0.3">
      <c r="A19" s="9">
        <v>44712</v>
      </c>
      <c r="B19" s="10">
        <v>17</v>
      </c>
      <c r="C19" s="10" t="s">
        <v>59</v>
      </c>
      <c r="D19" s="10" t="s">
        <v>23</v>
      </c>
      <c r="E19" s="10" t="s">
        <v>20</v>
      </c>
      <c r="F19" s="10" t="s">
        <v>60</v>
      </c>
      <c r="G19" s="10">
        <v>40</v>
      </c>
      <c r="H19" s="11">
        <v>35</v>
      </c>
      <c r="I19" t="str">
        <f t="shared" si="0"/>
        <v>Peggy Carter</v>
      </c>
    </row>
    <row r="20" spans="1:9" x14ac:dyDescent="0.3">
      <c r="A20" s="9">
        <v>44742</v>
      </c>
      <c r="B20" s="10">
        <v>18</v>
      </c>
      <c r="C20" s="10" t="s">
        <v>61</v>
      </c>
      <c r="D20" s="10" t="s">
        <v>19</v>
      </c>
      <c r="E20" s="10" t="s">
        <v>24</v>
      </c>
      <c r="F20" s="10" t="s">
        <v>62</v>
      </c>
      <c r="G20" s="10">
        <v>45</v>
      </c>
      <c r="H20" s="11">
        <v>33.33</v>
      </c>
      <c r="I20" t="str">
        <f t="shared" si="0"/>
        <v>Howard Stark</v>
      </c>
    </row>
    <row r="21" spans="1:9" x14ac:dyDescent="0.3">
      <c r="A21" s="9">
        <v>44773</v>
      </c>
      <c r="B21" s="10">
        <v>19</v>
      </c>
      <c r="C21" s="10" t="s">
        <v>63</v>
      </c>
      <c r="D21" s="10" t="s">
        <v>27</v>
      </c>
      <c r="E21" s="10" t="s">
        <v>28</v>
      </c>
      <c r="F21" s="10" t="s">
        <v>64</v>
      </c>
      <c r="G21" s="10">
        <v>50</v>
      </c>
      <c r="H21" s="11">
        <v>32</v>
      </c>
      <c r="I21" t="str">
        <f t="shared" si="0"/>
        <v>Hank Pym</v>
      </c>
    </row>
    <row r="22" spans="1:9" x14ac:dyDescent="0.3">
      <c r="A22" s="9">
        <v>44804</v>
      </c>
      <c r="B22" s="10">
        <v>20</v>
      </c>
      <c r="C22" s="10" t="s">
        <v>65</v>
      </c>
      <c r="D22" s="10" t="s">
        <v>32</v>
      </c>
      <c r="E22" s="10" t="s">
        <v>33</v>
      </c>
      <c r="F22" s="10" t="s">
        <v>66</v>
      </c>
      <c r="G22" s="10">
        <v>55</v>
      </c>
      <c r="H22" s="11">
        <v>30.91</v>
      </c>
      <c r="I22" t="str">
        <f t="shared" si="0"/>
        <v>Janet van Dyne</v>
      </c>
    </row>
    <row r="23" spans="1:9" x14ac:dyDescent="0.3">
      <c r="A23" s="9">
        <v>44834</v>
      </c>
      <c r="B23" s="10">
        <v>21</v>
      </c>
      <c r="C23" s="10" t="s">
        <v>67</v>
      </c>
      <c r="D23" s="10" t="s">
        <v>23</v>
      </c>
      <c r="E23" s="10" t="s">
        <v>20</v>
      </c>
      <c r="F23" s="10" t="s">
        <v>68</v>
      </c>
      <c r="G23" s="10">
        <v>60</v>
      </c>
      <c r="H23" s="11">
        <v>30</v>
      </c>
      <c r="I23" t="str">
        <f t="shared" si="0"/>
        <v>Kurt Busiek</v>
      </c>
    </row>
    <row r="24" spans="1:9" x14ac:dyDescent="0.3">
      <c r="A24" s="9">
        <v>44865</v>
      </c>
      <c r="B24" s="10">
        <v>22</v>
      </c>
      <c r="C24" s="10" t="s">
        <v>69</v>
      </c>
      <c r="D24" s="10" t="s">
        <v>19</v>
      </c>
      <c r="E24" s="10" t="s">
        <v>24</v>
      </c>
      <c r="F24" s="10" t="s">
        <v>70</v>
      </c>
      <c r="G24" s="10">
        <v>0</v>
      </c>
      <c r="H24" s="10" t="s">
        <v>30</v>
      </c>
      <c r="I24" t="str">
        <f t="shared" si="0"/>
        <v>George Perez</v>
      </c>
    </row>
    <row r="25" spans="1:9" x14ac:dyDescent="0.3">
      <c r="A25" s="9">
        <v>44895</v>
      </c>
      <c r="B25" s="10">
        <v>23</v>
      </c>
      <c r="C25" s="10" t="s">
        <v>71</v>
      </c>
      <c r="D25" s="10" t="s">
        <v>27</v>
      </c>
      <c r="E25" s="10" t="s">
        <v>28</v>
      </c>
      <c r="F25" s="10" t="s">
        <v>72</v>
      </c>
      <c r="G25" s="10">
        <v>65</v>
      </c>
      <c r="H25" s="11">
        <v>30.77</v>
      </c>
      <c r="I25" t="str">
        <f t="shared" si="0"/>
        <v>Roger Stern</v>
      </c>
    </row>
    <row r="26" spans="1:9" x14ac:dyDescent="0.3">
      <c r="A26" s="9">
        <v>44926</v>
      </c>
      <c r="B26" s="10">
        <v>24</v>
      </c>
      <c r="C26" s="10" t="s">
        <v>73</v>
      </c>
      <c r="D26" s="10" t="s">
        <v>32</v>
      </c>
      <c r="E26" s="10" t="s">
        <v>33</v>
      </c>
      <c r="F26" s="10" t="s">
        <v>74</v>
      </c>
      <c r="G26" s="10">
        <v>70</v>
      </c>
      <c r="H26" s="11">
        <v>30</v>
      </c>
      <c r="I26" t="str">
        <f t="shared" si="0"/>
        <v>Tom DeFalco</v>
      </c>
    </row>
    <row r="27" spans="1:9" x14ac:dyDescent="0.3">
      <c r="A27" s="9">
        <v>44957</v>
      </c>
      <c r="B27" s="10">
        <v>25</v>
      </c>
      <c r="C27" s="10" t="s">
        <v>75</v>
      </c>
      <c r="D27" s="10" t="s">
        <v>76</v>
      </c>
      <c r="E27" s="10" t="s">
        <v>77</v>
      </c>
      <c r="F27" s="10" t="s">
        <v>78</v>
      </c>
      <c r="G27" s="10">
        <v>75</v>
      </c>
      <c r="H27" s="11">
        <v>29.33</v>
      </c>
      <c r="I27" t="str">
        <f t="shared" si="0"/>
        <v>Loki Laufeyson</v>
      </c>
    </row>
    <row r="28" spans="1:9" x14ac:dyDescent="0.3">
      <c r="A28" s="9">
        <v>44985</v>
      </c>
      <c r="B28" s="10">
        <v>26</v>
      </c>
      <c r="C28" s="10" t="s">
        <v>79</v>
      </c>
      <c r="D28" s="10" t="s">
        <v>76</v>
      </c>
      <c r="E28" s="10" t="s">
        <v>80</v>
      </c>
      <c r="F28" s="10" t="s">
        <v>81</v>
      </c>
      <c r="G28" s="10">
        <v>80</v>
      </c>
      <c r="H28" s="11">
        <v>28.75</v>
      </c>
      <c r="I28" t="str">
        <f t="shared" si="0"/>
        <v>Thor Odinson</v>
      </c>
    </row>
    <row r="29" spans="1:9" x14ac:dyDescent="0.3">
      <c r="A29" s="9">
        <v>45016</v>
      </c>
      <c r="B29" s="10">
        <v>27</v>
      </c>
      <c r="C29" s="10" t="s">
        <v>51</v>
      </c>
      <c r="D29" s="10" t="s">
        <v>23</v>
      </c>
      <c r="E29" s="10" t="s">
        <v>82</v>
      </c>
      <c r="F29" s="10" t="s">
        <v>83</v>
      </c>
      <c r="G29" s="10">
        <v>0</v>
      </c>
      <c r="H29" s="10" t="s">
        <v>30</v>
      </c>
      <c r="I29" t="str">
        <f t="shared" si="0"/>
        <v>Natasha Romanoff</v>
      </c>
    </row>
    <row r="30" spans="1:9" x14ac:dyDescent="0.3">
      <c r="A30" s="9">
        <v>45046</v>
      </c>
      <c r="B30" s="10">
        <v>28</v>
      </c>
      <c r="C30" s="10" t="s">
        <v>49</v>
      </c>
      <c r="D30" s="10" t="s">
        <v>32</v>
      </c>
      <c r="E30" s="10" t="s">
        <v>84</v>
      </c>
      <c r="F30" s="10" t="s">
        <v>85</v>
      </c>
      <c r="G30" s="10">
        <v>85</v>
      </c>
      <c r="H30" s="11">
        <v>29.41</v>
      </c>
      <c r="I30" t="str">
        <f t="shared" si="0"/>
        <v>Steve Rogers</v>
      </c>
    </row>
  </sheetData>
  <conditionalFormatting sqref="B2:B30">
    <cfRule type="duplicateValues" dxfId="18" priority="1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7102-CF1A-4AF3-99A6-B6E494D36680}">
  <dimension ref="A1:O30"/>
  <sheetViews>
    <sheetView workbookViewId="0">
      <selection activeCell="G8" sqref="G8"/>
    </sheetView>
  </sheetViews>
  <sheetFormatPr defaultRowHeight="14.4" x14ac:dyDescent="0.3"/>
  <cols>
    <col min="1" max="1" width="16" customWidth="1"/>
    <col min="2" max="2" width="3" bestFit="1" customWidth="1"/>
    <col min="3" max="3" width="17.5546875" bestFit="1" customWidth="1"/>
    <col min="4" max="4" width="7.109375" bestFit="1" customWidth="1"/>
    <col min="5" max="5" width="8.5546875" bestFit="1" customWidth="1"/>
    <col min="6" max="6" width="23.44140625" bestFit="1" customWidth="1"/>
    <col min="7" max="7" width="8.6640625" bestFit="1" customWidth="1"/>
    <col min="8" max="8" width="13.33203125" bestFit="1" customWidth="1"/>
  </cols>
  <sheetData>
    <row r="1" spans="1:15" s="7" customFormat="1" ht="48.75" customHeight="1" x14ac:dyDescent="0.4">
      <c r="A1" s="6" t="s">
        <v>90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3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</row>
    <row r="3" spans="1:15" x14ac:dyDescent="0.3">
      <c r="A3" s="9">
        <v>44227</v>
      </c>
      <c r="B3" s="10">
        <v>1</v>
      </c>
      <c r="C3" s="10" t="s">
        <v>91</v>
      </c>
      <c r="D3" s="10" t="s">
        <v>19</v>
      </c>
      <c r="E3" s="10" t="s">
        <v>20</v>
      </c>
      <c r="F3" s="10" t="s">
        <v>21</v>
      </c>
      <c r="G3" s="10">
        <v>10</v>
      </c>
      <c r="H3" s="11">
        <v>20</v>
      </c>
    </row>
    <row r="4" spans="1:15" x14ac:dyDescent="0.3">
      <c r="A4" s="9">
        <v>44255</v>
      </c>
      <c r="B4" s="10">
        <v>2</v>
      </c>
      <c r="C4" s="10" t="s">
        <v>22</v>
      </c>
      <c r="D4" s="10" t="s">
        <v>23</v>
      </c>
      <c r="E4" s="10" t="s">
        <v>24</v>
      </c>
      <c r="F4" s="10" t="s">
        <v>25</v>
      </c>
      <c r="G4" s="10">
        <v>15</v>
      </c>
      <c r="H4" s="11">
        <v>10</v>
      </c>
    </row>
    <row r="5" spans="1:15" x14ac:dyDescent="0.3">
      <c r="A5" s="9">
        <v>44286</v>
      </c>
      <c r="B5" s="10">
        <v>3</v>
      </c>
      <c r="C5" s="10" t="s">
        <v>92</v>
      </c>
      <c r="D5" s="10" t="s">
        <v>27</v>
      </c>
      <c r="E5" s="10" t="s">
        <v>28</v>
      </c>
      <c r="F5" s="10" t="s">
        <v>29</v>
      </c>
      <c r="G5" s="10">
        <v>0</v>
      </c>
      <c r="H5" s="10" t="s">
        <v>30</v>
      </c>
    </row>
    <row r="6" spans="1:15" x14ac:dyDescent="0.3">
      <c r="A6" s="9">
        <v>44316</v>
      </c>
      <c r="B6" s="10">
        <v>4</v>
      </c>
      <c r="C6" s="10" t="s">
        <v>93</v>
      </c>
      <c r="D6" s="10" t="s">
        <v>32</v>
      </c>
      <c r="E6" s="10" t="s">
        <v>33</v>
      </c>
      <c r="F6" s="10" t="s">
        <v>34</v>
      </c>
      <c r="G6" s="10">
        <v>25</v>
      </c>
      <c r="H6" s="11">
        <v>10</v>
      </c>
    </row>
    <row r="7" spans="1:15" x14ac:dyDescent="0.3">
      <c r="A7" s="9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10">
        <v>30</v>
      </c>
      <c r="H7" s="11">
        <v>16.670000000000002</v>
      </c>
    </row>
    <row r="8" spans="1:15" x14ac:dyDescent="0.3">
      <c r="A8" s="9">
        <v>44377</v>
      </c>
      <c r="B8" s="10">
        <v>6</v>
      </c>
      <c r="C8" s="10" t="s">
        <v>94</v>
      </c>
      <c r="D8" s="12" t="s">
        <v>95</v>
      </c>
      <c r="E8" s="10" t="s">
        <v>24</v>
      </c>
      <c r="F8" s="10" t="s">
        <v>38</v>
      </c>
      <c r="G8" s="10">
        <v>0</v>
      </c>
      <c r="H8" s="10" t="s">
        <v>30</v>
      </c>
    </row>
    <row r="9" spans="1:15" x14ac:dyDescent="0.3">
      <c r="A9" s="9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10">
        <v>35</v>
      </c>
      <c r="H9" s="11">
        <v>10</v>
      </c>
    </row>
    <row r="10" spans="1:15" x14ac:dyDescent="0.3">
      <c r="A10" s="9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10">
        <v>40</v>
      </c>
      <c r="H10" s="11">
        <v>15</v>
      </c>
    </row>
    <row r="11" spans="1:15" x14ac:dyDescent="0.3">
      <c r="A11" s="9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10">
        <v>45</v>
      </c>
      <c r="H11" s="11">
        <v>12.22</v>
      </c>
    </row>
    <row r="12" spans="1:15" x14ac:dyDescent="0.3">
      <c r="A12" s="9">
        <v>44500</v>
      </c>
      <c r="B12" s="10">
        <v>10</v>
      </c>
      <c r="C12" s="10" t="s">
        <v>45</v>
      </c>
      <c r="D12" s="10" t="s">
        <v>19</v>
      </c>
      <c r="E12" s="10" t="s">
        <v>24</v>
      </c>
      <c r="F12" s="10" t="s">
        <v>46</v>
      </c>
      <c r="G12" s="10">
        <v>50</v>
      </c>
      <c r="H12" s="11">
        <v>14</v>
      </c>
    </row>
    <row r="13" spans="1:15" x14ac:dyDescent="0.3">
      <c r="A13" s="9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10">
        <v>5</v>
      </c>
      <c r="H13" s="11">
        <v>160</v>
      </c>
    </row>
    <row r="14" spans="1:15" x14ac:dyDescent="0.3">
      <c r="A14" s="9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10">
        <v>20</v>
      </c>
      <c r="H14" s="11">
        <v>45</v>
      </c>
    </row>
    <row r="15" spans="1:15" x14ac:dyDescent="0.3">
      <c r="A15" s="9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10">
        <v>0</v>
      </c>
      <c r="H15" s="10" t="s">
        <v>30</v>
      </c>
    </row>
    <row r="16" spans="1:15" x14ac:dyDescent="0.3">
      <c r="A16" s="9">
        <v>44620</v>
      </c>
      <c r="B16" s="10">
        <v>14</v>
      </c>
      <c r="C16" s="10" t="s">
        <v>53</v>
      </c>
      <c r="D16" s="12" t="s">
        <v>95</v>
      </c>
      <c r="E16" s="10" t="s">
        <v>24</v>
      </c>
      <c r="F16" s="10" t="s">
        <v>54</v>
      </c>
      <c r="G16" s="10">
        <v>30</v>
      </c>
      <c r="H16" s="11">
        <v>36.67</v>
      </c>
    </row>
    <row r="17" spans="1:8" x14ac:dyDescent="0.3">
      <c r="A17" s="9">
        <v>44651</v>
      </c>
      <c r="B17" s="10">
        <v>15</v>
      </c>
      <c r="C17" s="10" t="s">
        <v>55</v>
      </c>
      <c r="D17" s="10" t="s">
        <v>27</v>
      </c>
      <c r="E17" s="10" t="s">
        <v>28</v>
      </c>
      <c r="F17" s="10" t="s">
        <v>56</v>
      </c>
      <c r="G17" s="10">
        <v>35</v>
      </c>
      <c r="H17" s="11">
        <v>34.29</v>
      </c>
    </row>
    <row r="18" spans="1:8" x14ac:dyDescent="0.3">
      <c r="A18" s="9">
        <v>44681</v>
      </c>
      <c r="B18" s="10">
        <v>16</v>
      </c>
      <c r="C18" s="10" t="s">
        <v>57</v>
      </c>
      <c r="D18" s="12" t="s">
        <v>95</v>
      </c>
      <c r="E18" s="10" t="s">
        <v>33</v>
      </c>
      <c r="F18" s="10" t="s">
        <v>58</v>
      </c>
      <c r="G18" s="10">
        <v>0</v>
      </c>
      <c r="H18" s="10" t="s">
        <v>30</v>
      </c>
    </row>
    <row r="19" spans="1:8" x14ac:dyDescent="0.3">
      <c r="A19" s="9">
        <v>44712</v>
      </c>
      <c r="B19" s="10">
        <v>17</v>
      </c>
      <c r="C19" s="10" t="s">
        <v>59</v>
      </c>
      <c r="D19" s="10" t="s">
        <v>23</v>
      </c>
      <c r="E19" s="10" t="s">
        <v>20</v>
      </c>
      <c r="F19" s="10" t="s">
        <v>60</v>
      </c>
      <c r="G19" s="10">
        <v>40</v>
      </c>
      <c r="H19" s="11">
        <v>35</v>
      </c>
    </row>
    <row r="20" spans="1:8" x14ac:dyDescent="0.3">
      <c r="A20" s="9">
        <v>44742</v>
      </c>
      <c r="B20" s="10">
        <v>18</v>
      </c>
      <c r="C20" s="10" t="s">
        <v>61</v>
      </c>
      <c r="D20" s="10" t="s">
        <v>19</v>
      </c>
      <c r="E20" s="10" t="s">
        <v>24</v>
      </c>
      <c r="F20" s="10" t="s">
        <v>62</v>
      </c>
      <c r="G20" s="10">
        <v>45</v>
      </c>
      <c r="H20" s="11">
        <v>33.33</v>
      </c>
    </row>
    <row r="21" spans="1:8" x14ac:dyDescent="0.3">
      <c r="A21" s="9">
        <v>44773</v>
      </c>
      <c r="B21" s="10">
        <v>19</v>
      </c>
      <c r="C21" s="10" t="s">
        <v>63</v>
      </c>
      <c r="D21" s="10" t="s">
        <v>27</v>
      </c>
      <c r="E21" s="10" t="s">
        <v>28</v>
      </c>
      <c r="F21" s="10" t="s">
        <v>64</v>
      </c>
      <c r="G21" s="10">
        <v>50</v>
      </c>
      <c r="H21" s="11">
        <v>32</v>
      </c>
    </row>
    <row r="22" spans="1:8" x14ac:dyDescent="0.3">
      <c r="A22" s="9">
        <v>44804</v>
      </c>
      <c r="B22" s="10">
        <v>20</v>
      </c>
      <c r="C22" s="10" t="s">
        <v>65</v>
      </c>
      <c r="D22" s="10" t="s">
        <v>32</v>
      </c>
      <c r="E22" s="10" t="s">
        <v>33</v>
      </c>
      <c r="F22" s="10" t="s">
        <v>66</v>
      </c>
      <c r="G22" s="10">
        <v>55</v>
      </c>
      <c r="H22" s="11">
        <v>30.91</v>
      </c>
    </row>
    <row r="23" spans="1:8" x14ac:dyDescent="0.3">
      <c r="A23" s="9">
        <v>44834</v>
      </c>
      <c r="B23" s="10">
        <v>21</v>
      </c>
      <c r="C23" s="10" t="s">
        <v>67</v>
      </c>
      <c r="D23" s="10" t="s">
        <v>23</v>
      </c>
      <c r="E23" s="10" t="s">
        <v>20</v>
      </c>
      <c r="F23" s="10" t="s">
        <v>68</v>
      </c>
      <c r="G23" s="10">
        <v>60</v>
      </c>
      <c r="H23" s="11">
        <v>30</v>
      </c>
    </row>
    <row r="24" spans="1:8" x14ac:dyDescent="0.3">
      <c r="A24" s="9">
        <v>44865</v>
      </c>
      <c r="B24" s="10">
        <v>22</v>
      </c>
      <c r="C24" s="10" t="s">
        <v>69</v>
      </c>
      <c r="D24" s="10" t="s">
        <v>19</v>
      </c>
      <c r="E24" s="10" t="s">
        <v>24</v>
      </c>
      <c r="F24" s="10" t="s">
        <v>70</v>
      </c>
      <c r="G24" s="10">
        <v>0</v>
      </c>
      <c r="H24" s="10" t="s">
        <v>30</v>
      </c>
    </row>
    <row r="25" spans="1:8" x14ac:dyDescent="0.3">
      <c r="A25" s="9">
        <v>44895</v>
      </c>
      <c r="B25" s="10">
        <v>23</v>
      </c>
      <c r="C25" s="10" t="s">
        <v>71</v>
      </c>
      <c r="D25" s="10" t="s">
        <v>27</v>
      </c>
      <c r="E25" s="10" t="s">
        <v>28</v>
      </c>
      <c r="F25" s="10" t="s">
        <v>72</v>
      </c>
      <c r="G25" s="10">
        <v>65</v>
      </c>
      <c r="H25" s="11">
        <v>30.77</v>
      </c>
    </row>
    <row r="26" spans="1:8" x14ac:dyDescent="0.3">
      <c r="A26" s="9">
        <v>44926</v>
      </c>
      <c r="B26" s="10">
        <v>24</v>
      </c>
      <c r="C26" s="10" t="s">
        <v>73</v>
      </c>
      <c r="D26" s="10" t="s">
        <v>32</v>
      </c>
      <c r="E26" s="10" t="s">
        <v>33</v>
      </c>
      <c r="F26" s="10" t="s">
        <v>74</v>
      </c>
      <c r="G26" s="10">
        <v>70</v>
      </c>
      <c r="H26" s="11">
        <v>30</v>
      </c>
    </row>
    <row r="27" spans="1:8" x14ac:dyDescent="0.3">
      <c r="A27" s="9">
        <v>44957</v>
      </c>
      <c r="B27" s="10">
        <v>25</v>
      </c>
      <c r="C27" s="10" t="s">
        <v>75</v>
      </c>
      <c r="D27" s="10" t="s">
        <v>76</v>
      </c>
      <c r="E27" s="10" t="s">
        <v>77</v>
      </c>
      <c r="F27" s="10" t="s">
        <v>78</v>
      </c>
      <c r="G27" s="10">
        <v>75</v>
      </c>
      <c r="H27" s="11">
        <v>29.33</v>
      </c>
    </row>
    <row r="28" spans="1:8" x14ac:dyDescent="0.3">
      <c r="A28" s="9">
        <v>44985</v>
      </c>
      <c r="B28" s="10">
        <v>26</v>
      </c>
      <c r="C28" s="10" t="s">
        <v>79</v>
      </c>
      <c r="D28" s="10" t="s">
        <v>76</v>
      </c>
      <c r="E28" s="10" t="s">
        <v>80</v>
      </c>
      <c r="F28" s="10" t="s">
        <v>81</v>
      </c>
      <c r="G28" s="10">
        <v>80</v>
      </c>
      <c r="H28" s="11">
        <v>28.75</v>
      </c>
    </row>
    <row r="29" spans="1:8" x14ac:dyDescent="0.3">
      <c r="A29" s="9">
        <v>45016</v>
      </c>
      <c r="B29" s="10">
        <v>27</v>
      </c>
      <c r="C29" s="10" t="s">
        <v>51</v>
      </c>
      <c r="D29" s="10" t="s">
        <v>23</v>
      </c>
      <c r="E29" s="10" t="s">
        <v>82</v>
      </c>
      <c r="F29" s="10" t="s">
        <v>83</v>
      </c>
      <c r="G29" s="10">
        <v>0</v>
      </c>
      <c r="H29" s="10" t="s">
        <v>30</v>
      </c>
    </row>
    <row r="30" spans="1:8" x14ac:dyDescent="0.3">
      <c r="A30" s="9">
        <v>45046</v>
      </c>
      <c r="B30" s="10">
        <v>28</v>
      </c>
      <c r="C30" s="10" t="s">
        <v>49</v>
      </c>
      <c r="D30" s="10" t="s">
        <v>32</v>
      </c>
      <c r="E30" s="10" t="s">
        <v>84</v>
      </c>
      <c r="F30" s="10" t="s">
        <v>85</v>
      </c>
      <c r="G30" s="10">
        <v>85</v>
      </c>
      <c r="H30" s="11">
        <v>29.41</v>
      </c>
    </row>
  </sheetData>
  <conditionalFormatting sqref="B2:B30">
    <cfRule type="duplicateValues" dxfId="17" priority="1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A2CE-C4A2-4AA4-8C82-44A1640A0FD7}">
  <dimension ref="A1:O30"/>
  <sheetViews>
    <sheetView workbookViewId="0">
      <selection activeCell="G7" sqref="G7"/>
    </sheetView>
  </sheetViews>
  <sheetFormatPr defaultRowHeight="14.4" x14ac:dyDescent="0.3"/>
  <cols>
    <col min="1" max="1" width="16" customWidth="1"/>
    <col min="2" max="2" width="3" bestFit="1" customWidth="1"/>
    <col min="3" max="3" width="17.5546875" bestFit="1" customWidth="1"/>
    <col min="4" max="4" width="7.109375" bestFit="1" customWidth="1"/>
    <col min="5" max="5" width="9.109375" bestFit="1" customWidth="1"/>
    <col min="6" max="6" width="23.44140625" bestFit="1" customWidth="1"/>
    <col min="7" max="7" width="8.6640625" bestFit="1" customWidth="1"/>
    <col min="8" max="8" width="13.33203125" bestFit="1" customWidth="1"/>
  </cols>
  <sheetData>
    <row r="1" spans="1:15" s="7" customFormat="1" ht="48.75" customHeight="1" x14ac:dyDescent="0.4">
      <c r="A1" s="6" t="s">
        <v>96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3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</row>
    <row r="3" spans="1:15" x14ac:dyDescent="0.3">
      <c r="A3" s="9">
        <v>44227</v>
      </c>
      <c r="B3" s="10">
        <v>1</v>
      </c>
      <c r="C3" s="10" t="s">
        <v>91</v>
      </c>
      <c r="D3" s="10" t="s">
        <v>19</v>
      </c>
      <c r="E3" s="10" t="s">
        <v>20</v>
      </c>
      <c r="F3" s="10" t="s">
        <v>21</v>
      </c>
      <c r="G3" s="10">
        <v>10</v>
      </c>
      <c r="H3" s="11">
        <v>20</v>
      </c>
    </row>
    <row r="4" spans="1:15" x14ac:dyDescent="0.3">
      <c r="A4" s="9">
        <v>44255</v>
      </c>
      <c r="B4" s="10">
        <v>2</v>
      </c>
      <c r="C4" s="10" t="s">
        <v>22</v>
      </c>
      <c r="D4" s="10" t="s">
        <v>23</v>
      </c>
      <c r="E4" s="10" t="s">
        <v>97</v>
      </c>
      <c r="F4" s="10" t="s">
        <v>25</v>
      </c>
      <c r="G4" s="10">
        <v>15</v>
      </c>
      <c r="H4" s="11">
        <v>10</v>
      </c>
    </row>
    <row r="5" spans="1:15" x14ac:dyDescent="0.3">
      <c r="A5" s="9">
        <v>44286</v>
      </c>
      <c r="B5" s="10">
        <v>3</v>
      </c>
      <c r="C5" s="10" t="s">
        <v>92</v>
      </c>
      <c r="D5" s="10" t="s">
        <v>27</v>
      </c>
      <c r="E5" s="10" t="s">
        <v>28</v>
      </c>
      <c r="F5" s="10" t="s">
        <v>29</v>
      </c>
      <c r="G5" s="10">
        <v>0</v>
      </c>
      <c r="H5" s="10" t="s">
        <v>30</v>
      </c>
    </row>
    <row r="6" spans="1:15" x14ac:dyDescent="0.3">
      <c r="A6" s="9">
        <v>44316</v>
      </c>
      <c r="B6" s="10">
        <v>4</v>
      </c>
      <c r="C6" s="10" t="s">
        <v>93</v>
      </c>
      <c r="D6" s="10" t="s">
        <v>32</v>
      </c>
      <c r="E6" s="10" t="s">
        <v>33</v>
      </c>
      <c r="F6" s="10" t="s">
        <v>34</v>
      </c>
      <c r="G6" s="10">
        <v>25</v>
      </c>
      <c r="H6" s="11">
        <v>10</v>
      </c>
    </row>
    <row r="7" spans="1:15" x14ac:dyDescent="0.3">
      <c r="A7" s="9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10">
        <v>30</v>
      </c>
      <c r="H7" s="11">
        <v>16.670000000000002</v>
      </c>
    </row>
    <row r="8" spans="1:15" x14ac:dyDescent="0.3">
      <c r="A8" s="9">
        <v>44377</v>
      </c>
      <c r="B8" s="10">
        <v>6</v>
      </c>
      <c r="C8" s="10" t="s">
        <v>94</v>
      </c>
      <c r="D8" s="12" t="s">
        <v>95</v>
      </c>
      <c r="E8" s="10" t="s">
        <v>97</v>
      </c>
      <c r="F8" s="10" t="s">
        <v>38</v>
      </c>
      <c r="G8" s="10">
        <v>0</v>
      </c>
      <c r="H8" s="10" t="s">
        <v>30</v>
      </c>
    </row>
    <row r="9" spans="1:15" x14ac:dyDescent="0.3">
      <c r="A9" s="9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10">
        <v>35</v>
      </c>
      <c r="H9" s="11">
        <v>10</v>
      </c>
    </row>
    <row r="10" spans="1:15" x14ac:dyDescent="0.3">
      <c r="A10" s="9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10">
        <v>40</v>
      </c>
      <c r="H10" s="11">
        <v>15</v>
      </c>
    </row>
    <row r="11" spans="1:15" x14ac:dyDescent="0.3">
      <c r="A11" s="9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10">
        <v>45</v>
      </c>
      <c r="H11" s="11">
        <v>12.22</v>
      </c>
    </row>
    <row r="12" spans="1:15" x14ac:dyDescent="0.3">
      <c r="A12" s="9">
        <v>44500</v>
      </c>
      <c r="B12" s="10">
        <v>10</v>
      </c>
      <c r="C12" s="10" t="s">
        <v>45</v>
      </c>
      <c r="D12" s="10" t="s">
        <v>19</v>
      </c>
      <c r="E12" s="10" t="s">
        <v>97</v>
      </c>
      <c r="F12" s="10" t="s">
        <v>46</v>
      </c>
      <c r="G12" s="10">
        <v>50</v>
      </c>
      <c r="H12" s="11">
        <v>14</v>
      </c>
    </row>
    <row r="13" spans="1:15" x14ac:dyDescent="0.3">
      <c r="A13" s="9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10">
        <v>5</v>
      </c>
      <c r="H13" s="11">
        <v>160</v>
      </c>
    </row>
    <row r="14" spans="1:15" x14ac:dyDescent="0.3">
      <c r="A14" s="9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10">
        <v>20</v>
      </c>
      <c r="H14" s="11">
        <v>45</v>
      </c>
    </row>
    <row r="15" spans="1:15" x14ac:dyDescent="0.3">
      <c r="A15" s="9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10">
        <v>0</v>
      </c>
      <c r="H15" s="10" t="s">
        <v>30</v>
      </c>
    </row>
    <row r="16" spans="1:15" x14ac:dyDescent="0.3">
      <c r="A16" s="9">
        <v>44620</v>
      </c>
      <c r="B16" s="10">
        <v>14</v>
      </c>
      <c r="C16" s="10" t="s">
        <v>53</v>
      </c>
      <c r="D16" s="12" t="s">
        <v>95</v>
      </c>
      <c r="E16" s="10" t="s">
        <v>97</v>
      </c>
      <c r="F16" s="10" t="s">
        <v>54</v>
      </c>
      <c r="G16" s="10">
        <v>30</v>
      </c>
      <c r="H16" s="11">
        <v>36.67</v>
      </c>
    </row>
    <row r="17" spans="1:8" x14ac:dyDescent="0.3">
      <c r="A17" s="9">
        <v>44651</v>
      </c>
      <c r="B17" s="10">
        <v>15</v>
      </c>
      <c r="C17" s="10" t="s">
        <v>55</v>
      </c>
      <c r="D17" s="10" t="s">
        <v>27</v>
      </c>
      <c r="E17" s="10" t="s">
        <v>28</v>
      </c>
      <c r="F17" s="10" t="s">
        <v>56</v>
      </c>
      <c r="G17" s="10">
        <v>35</v>
      </c>
      <c r="H17" s="11">
        <v>34.29</v>
      </c>
    </row>
    <row r="18" spans="1:8" x14ac:dyDescent="0.3">
      <c r="A18" s="9">
        <v>44681</v>
      </c>
      <c r="B18" s="10">
        <v>16</v>
      </c>
      <c r="C18" s="10" t="s">
        <v>57</v>
      </c>
      <c r="D18" s="12" t="s">
        <v>95</v>
      </c>
      <c r="E18" s="10" t="s">
        <v>33</v>
      </c>
      <c r="F18" s="10" t="s">
        <v>58</v>
      </c>
      <c r="G18" s="10">
        <v>0</v>
      </c>
      <c r="H18" s="10" t="s">
        <v>30</v>
      </c>
    </row>
    <row r="19" spans="1:8" x14ac:dyDescent="0.3">
      <c r="A19" s="9">
        <v>44712</v>
      </c>
      <c r="B19" s="10">
        <v>17</v>
      </c>
      <c r="C19" s="10" t="s">
        <v>59</v>
      </c>
      <c r="D19" s="10" t="s">
        <v>23</v>
      </c>
      <c r="E19" s="10" t="s">
        <v>20</v>
      </c>
      <c r="F19" s="10" t="s">
        <v>60</v>
      </c>
      <c r="G19" s="10">
        <v>40</v>
      </c>
      <c r="H19" s="11">
        <v>35</v>
      </c>
    </row>
    <row r="20" spans="1:8" x14ac:dyDescent="0.3">
      <c r="A20" s="9">
        <v>44742</v>
      </c>
      <c r="B20" s="10">
        <v>18</v>
      </c>
      <c r="C20" s="10" t="s">
        <v>61</v>
      </c>
      <c r="D20" s="10" t="s">
        <v>19</v>
      </c>
      <c r="E20" s="10" t="s">
        <v>97</v>
      </c>
      <c r="F20" s="10" t="s">
        <v>62</v>
      </c>
      <c r="G20" s="10">
        <v>45</v>
      </c>
      <c r="H20" s="11">
        <v>33.33</v>
      </c>
    </row>
    <row r="21" spans="1:8" x14ac:dyDescent="0.3">
      <c r="A21" s="9">
        <v>44773</v>
      </c>
      <c r="B21" s="10">
        <v>19</v>
      </c>
      <c r="C21" s="10" t="s">
        <v>63</v>
      </c>
      <c r="D21" s="10" t="s">
        <v>27</v>
      </c>
      <c r="E21" s="10" t="s">
        <v>28</v>
      </c>
      <c r="F21" s="10" t="s">
        <v>64</v>
      </c>
      <c r="G21" s="10">
        <v>50</v>
      </c>
      <c r="H21" s="11">
        <v>32</v>
      </c>
    </row>
    <row r="22" spans="1:8" x14ac:dyDescent="0.3">
      <c r="A22" s="9">
        <v>44804</v>
      </c>
      <c r="B22" s="10">
        <v>20</v>
      </c>
      <c r="C22" s="10" t="s">
        <v>65</v>
      </c>
      <c r="D22" s="10" t="s">
        <v>32</v>
      </c>
      <c r="E22" s="10" t="s">
        <v>33</v>
      </c>
      <c r="F22" s="10" t="s">
        <v>66</v>
      </c>
      <c r="G22" s="10">
        <v>55</v>
      </c>
      <c r="H22" s="11">
        <v>30.91</v>
      </c>
    </row>
    <row r="23" spans="1:8" x14ac:dyDescent="0.3">
      <c r="A23" s="9">
        <v>44834</v>
      </c>
      <c r="B23" s="10">
        <v>21</v>
      </c>
      <c r="C23" s="10" t="s">
        <v>67</v>
      </c>
      <c r="D23" s="10" t="s">
        <v>23</v>
      </c>
      <c r="E23" s="10" t="s">
        <v>20</v>
      </c>
      <c r="F23" s="10" t="s">
        <v>68</v>
      </c>
      <c r="G23" s="10">
        <v>60</v>
      </c>
      <c r="H23" s="11">
        <v>30</v>
      </c>
    </row>
    <row r="24" spans="1:8" x14ac:dyDescent="0.3">
      <c r="A24" s="9">
        <v>44865</v>
      </c>
      <c r="B24" s="10">
        <v>22</v>
      </c>
      <c r="C24" s="10" t="s">
        <v>69</v>
      </c>
      <c r="D24" s="10" t="s">
        <v>19</v>
      </c>
      <c r="E24" s="10" t="s">
        <v>97</v>
      </c>
      <c r="F24" s="10" t="s">
        <v>70</v>
      </c>
      <c r="G24" s="10">
        <v>0</v>
      </c>
      <c r="H24" s="10" t="s">
        <v>30</v>
      </c>
    </row>
    <row r="25" spans="1:8" x14ac:dyDescent="0.3">
      <c r="A25" s="9">
        <v>44895</v>
      </c>
      <c r="B25" s="10">
        <v>23</v>
      </c>
      <c r="C25" s="10" t="s">
        <v>71</v>
      </c>
      <c r="D25" s="10" t="s">
        <v>27</v>
      </c>
      <c r="E25" s="10" t="s">
        <v>28</v>
      </c>
      <c r="F25" s="10" t="s">
        <v>72</v>
      </c>
      <c r="G25" s="10">
        <v>65</v>
      </c>
      <c r="H25" s="11">
        <v>30.77</v>
      </c>
    </row>
    <row r="26" spans="1:8" x14ac:dyDescent="0.3">
      <c r="A26" s="9">
        <v>44926</v>
      </c>
      <c r="B26" s="10">
        <v>24</v>
      </c>
      <c r="C26" s="10" t="s">
        <v>73</v>
      </c>
      <c r="D26" s="10" t="s">
        <v>32</v>
      </c>
      <c r="E26" s="10" t="s">
        <v>33</v>
      </c>
      <c r="F26" s="10" t="s">
        <v>74</v>
      </c>
      <c r="G26" s="10">
        <v>70</v>
      </c>
      <c r="H26" s="11">
        <v>30</v>
      </c>
    </row>
    <row r="27" spans="1:8" x14ac:dyDescent="0.3">
      <c r="A27" s="9">
        <v>44957</v>
      </c>
      <c r="B27" s="10">
        <v>25</v>
      </c>
      <c r="C27" s="10" t="s">
        <v>75</v>
      </c>
      <c r="D27" s="10" t="s">
        <v>76</v>
      </c>
      <c r="E27" s="10" t="s">
        <v>77</v>
      </c>
      <c r="F27" s="10" t="s">
        <v>78</v>
      </c>
      <c r="G27" s="10">
        <v>75</v>
      </c>
      <c r="H27" s="11">
        <v>29.33</v>
      </c>
    </row>
    <row r="28" spans="1:8" x14ac:dyDescent="0.3">
      <c r="A28" s="9">
        <v>44985</v>
      </c>
      <c r="B28" s="10">
        <v>26</v>
      </c>
      <c r="C28" s="10" t="s">
        <v>79</v>
      </c>
      <c r="D28" s="10" t="s">
        <v>76</v>
      </c>
      <c r="E28" s="10" t="s">
        <v>80</v>
      </c>
      <c r="F28" s="10" t="s">
        <v>81</v>
      </c>
      <c r="G28" s="10">
        <v>80</v>
      </c>
      <c r="H28" s="11">
        <v>28.75</v>
      </c>
    </row>
    <row r="29" spans="1:8" x14ac:dyDescent="0.3">
      <c r="A29" s="9">
        <v>45016</v>
      </c>
      <c r="B29" s="10">
        <v>27</v>
      </c>
      <c r="C29" s="10" t="s">
        <v>51</v>
      </c>
      <c r="D29" s="10" t="s">
        <v>23</v>
      </c>
      <c r="E29" s="10" t="s">
        <v>82</v>
      </c>
      <c r="F29" s="10" t="s">
        <v>83</v>
      </c>
      <c r="G29" s="10">
        <v>0</v>
      </c>
      <c r="H29" s="10" t="s">
        <v>30</v>
      </c>
    </row>
    <row r="30" spans="1:8" x14ac:dyDescent="0.3">
      <c r="A30" s="9">
        <v>45046</v>
      </c>
      <c r="B30" s="10">
        <v>28</v>
      </c>
      <c r="C30" s="10" t="s">
        <v>49</v>
      </c>
      <c r="D30" s="10" t="s">
        <v>32</v>
      </c>
      <c r="E30" s="10" t="s">
        <v>84</v>
      </c>
      <c r="F30" s="10" t="s">
        <v>85</v>
      </c>
      <c r="G30" s="10">
        <v>85</v>
      </c>
      <c r="H30" s="11">
        <v>29.41</v>
      </c>
    </row>
  </sheetData>
  <conditionalFormatting sqref="B2:B30">
    <cfRule type="duplicateValues" dxfId="16" priority="1"/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CC27C-928E-499F-A76B-3A3CC54DD997}">
  <dimension ref="A1:O31"/>
  <sheetViews>
    <sheetView topLeftCell="AX1" workbookViewId="0">
      <selection activeCell="J14" sqref="J14"/>
    </sheetView>
  </sheetViews>
  <sheetFormatPr defaultRowHeight="14.4" x14ac:dyDescent="0.3"/>
  <cols>
    <col min="1" max="1" width="12.88671875" customWidth="1"/>
    <col min="2" max="2" width="3" bestFit="1" customWidth="1"/>
    <col min="3" max="3" width="17.5546875" bestFit="1" customWidth="1"/>
    <col min="4" max="4" width="7.109375" bestFit="1" customWidth="1"/>
    <col min="5" max="5" width="8.5546875" bestFit="1" customWidth="1"/>
    <col min="6" max="6" width="23.44140625" bestFit="1" customWidth="1"/>
    <col min="7" max="7" width="8.6640625" bestFit="1" customWidth="1"/>
    <col min="8" max="8" width="13.33203125" bestFit="1" customWidth="1"/>
  </cols>
  <sheetData>
    <row r="1" spans="1:15" s="7" customFormat="1" ht="48.75" customHeight="1" x14ac:dyDescent="0.4">
      <c r="A1" s="6" t="s">
        <v>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3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</row>
    <row r="3" spans="1:15" x14ac:dyDescent="0.3">
      <c r="A3" s="35">
        <v>44227</v>
      </c>
      <c r="B3" s="10">
        <v>1</v>
      </c>
      <c r="C3" s="10" t="s">
        <v>91</v>
      </c>
      <c r="D3" s="10" t="s">
        <v>19</v>
      </c>
      <c r="E3" s="10" t="s">
        <v>20</v>
      </c>
      <c r="F3" s="10" t="s">
        <v>21</v>
      </c>
      <c r="G3" s="10">
        <v>10</v>
      </c>
      <c r="H3" s="11">
        <v>20</v>
      </c>
    </row>
    <row r="4" spans="1:15" x14ac:dyDescent="0.3">
      <c r="A4" s="35">
        <v>44255</v>
      </c>
      <c r="B4" s="10">
        <v>2</v>
      </c>
      <c r="C4" s="10" t="s">
        <v>22</v>
      </c>
      <c r="D4" s="10" t="s">
        <v>23</v>
      </c>
      <c r="E4" s="10" t="s">
        <v>97</v>
      </c>
      <c r="F4" s="10" t="s">
        <v>25</v>
      </c>
      <c r="G4" s="10">
        <v>15</v>
      </c>
      <c r="H4" s="11">
        <v>10</v>
      </c>
    </row>
    <row r="5" spans="1:15" x14ac:dyDescent="0.3">
      <c r="A5" s="35">
        <v>44286</v>
      </c>
      <c r="B5" s="10">
        <v>3</v>
      </c>
      <c r="C5" s="10" t="s">
        <v>92</v>
      </c>
      <c r="D5" s="10" t="s">
        <v>27</v>
      </c>
      <c r="E5" s="10" t="s">
        <v>28</v>
      </c>
      <c r="F5" s="10" t="s">
        <v>29</v>
      </c>
      <c r="G5" s="10">
        <v>0</v>
      </c>
      <c r="H5" s="10" t="s">
        <v>30</v>
      </c>
    </row>
    <row r="6" spans="1:15" x14ac:dyDescent="0.3">
      <c r="A6" s="35">
        <v>44316</v>
      </c>
      <c r="B6" s="10">
        <v>4</v>
      </c>
      <c r="C6" s="10" t="s">
        <v>93</v>
      </c>
      <c r="D6" s="10" t="s">
        <v>32</v>
      </c>
      <c r="E6" s="10" t="s">
        <v>33</v>
      </c>
      <c r="F6" s="10" t="s">
        <v>34</v>
      </c>
      <c r="G6" s="10">
        <v>25</v>
      </c>
      <c r="H6" s="11">
        <v>10</v>
      </c>
    </row>
    <row r="7" spans="1:15" x14ac:dyDescent="0.3">
      <c r="A7" s="35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10">
        <v>30</v>
      </c>
      <c r="H7" s="11">
        <v>16.670000000000002</v>
      </c>
    </row>
    <row r="8" spans="1:15" x14ac:dyDescent="0.3">
      <c r="A8" s="35">
        <v>44377</v>
      </c>
      <c r="B8" s="10">
        <v>6</v>
      </c>
      <c r="C8" s="10" t="s">
        <v>94</v>
      </c>
      <c r="D8" s="12" t="s">
        <v>95</v>
      </c>
      <c r="E8" s="10" t="s">
        <v>97</v>
      </c>
      <c r="F8" s="10" t="s">
        <v>38</v>
      </c>
      <c r="G8" s="10">
        <v>0</v>
      </c>
      <c r="H8" s="10" t="s">
        <v>30</v>
      </c>
    </row>
    <row r="9" spans="1:15" x14ac:dyDescent="0.3">
      <c r="A9" s="35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10">
        <v>35</v>
      </c>
      <c r="H9" s="11">
        <v>10</v>
      </c>
    </row>
    <row r="10" spans="1:15" x14ac:dyDescent="0.3">
      <c r="A10" s="35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10">
        <v>40</v>
      </c>
      <c r="H10" s="11">
        <v>15</v>
      </c>
    </row>
    <row r="11" spans="1:15" x14ac:dyDescent="0.3">
      <c r="A11" s="35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10">
        <v>45</v>
      </c>
      <c r="H11" s="11">
        <v>12.22</v>
      </c>
    </row>
    <row r="12" spans="1:15" x14ac:dyDescent="0.3">
      <c r="A12" s="35">
        <v>44500</v>
      </c>
      <c r="B12" s="10">
        <v>10</v>
      </c>
      <c r="C12" s="10" t="s">
        <v>45</v>
      </c>
      <c r="D12" s="10" t="s">
        <v>19</v>
      </c>
      <c r="E12" s="10" t="s">
        <v>97</v>
      </c>
      <c r="F12" s="10" t="s">
        <v>46</v>
      </c>
      <c r="G12" s="10">
        <v>50</v>
      </c>
      <c r="H12" s="11">
        <v>14</v>
      </c>
    </row>
    <row r="13" spans="1:15" x14ac:dyDescent="0.3">
      <c r="A13" s="35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10">
        <v>5</v>
      </c>
      <c r="H13" s="11">
        <v>160</v>
      </c>
    </row>
    <row r="14" spans="1:15" x14ac:dyDescent="0.3">
      <c r="A14" s="35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10">
        <v>20</v>
      </c>
      <c r="H14" s="11">
        <v>45</v>
      </c>
    </row>
    <row r="15" spans="1:15" x14ac:dyDescent="0.3">
      <c r="A15" s="35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10">
        <v>0</v>
      </c>
      <c r="H15" s="10" t="s">
        <v>30</v>
      </c>
    </row>
    <row r="16" spans="1:15" x14ac:dyDescent="0.3">
      <c r="A16" s="35">
        <v>44620</v>
      </c>
      <c r="B16" s="10">
        <v>14</v>
      </c>
      <c r="C16" s="10" t="s">
        <v>53</v>
      </c>
      <c r="D16" s="12" t="s">
        <v>95</v>
      </c>
      <c r="E16" s="10" t="s">
        <v>97</v>
      </c>
      <c r="F16" s="10" t="s">
        <v>54</v>
      </c>
      <c r="G16" s="10">
        <v>30</v>
      </c>
      <c r="H16" s="11">
        <v>36.67</v>
      </c>
    </row>
    <row r="17" spans="1:8" x14ac:dyDescent="0.3">
      <c r="A17" s="35">
        <v>44651</v>
      </c>
      <c r="B17" s="10">
        <v>15</v>
      </c>
      <c r="C17" s="10" t="s">
        <v>55</v>
      </c>
      <c r="D17" s="10" t="s">
        <v>27</v>
      </c>
      <c r="E17" s="10" t="s">
        <v>28</v>
      </c>
      <c r="F17" s="10" t="s">
        <v>56</v>
      </c>
      <c r="G17" s="10">
        <v>35</v>
      </c>
      <c r="H17" s="11">
        <v>34.29</v>
      </c>
    </row>
    <row r="18" spans="1:8" x14ac:dyDescent="0.3">
      <c r="A18" s="35">
        <v>44681</v>
      </c>
      <c r="B18" s="10">
        <v>16</v>
      </c>
      <c r="C18" s="10" t="s">
        <v>57</v>
      </c>
      <c r="D18" s="12" t="s">
        <v>95</v>
      </c>
      <c r="E18" s="10" t="s">
        <v>33</v>
      </c>
      <c r="F18" s="10" t="s">
        <v>58</v>
      </c>
      <c r="G18" s="10">
        <v>0</v>
      </c>
      <c r="H18" s="10" t="s">
        <v>30</v>
      </c>
    </row>
    <row r="19" spans="1:8" x14ac:dyDescent="0.3">
      <c r="A19" s="35">
        <v>44712</v>
      </c>
      <c r="B19" s="10">
        <v>17</v>
      </c>
      <c r="C19" s="10" t="s">
        <v>59</v>
      </c>
      <c r="D19" s="10" t="s">
        <v>23</v>
      </c>
      <c r="E19" s="10" t="s">
        <v>20</v>
      </c>
      <c r="F19" s="10" t="s">
        <v>60</v>
      </c>
      <c r="G19" s="10">
        <v>40</v>
      </c>
      <c r="H19" s="11">
        <v>35</v>
      </c>
    </row>
    <row r="20" spans="1:8" x14ac:dyDescent="0.3">
      <c r="A20" s="35">
        <v>44742</v>
      </c>
      <c r="B20" s="10">
        <v>18</v>
      </c>
      <c r="C20" s="10" t="s">
        <v>61</v>
      </c>
      <c r="D20" s="10" t="s">
        <v>19</v>
      </c>
      <c r="E20" s="10" t="s">
        <v>97</v>
      </c>
      <c r="F20" s="10" t="s">
        <v>62</v>
      </c>
      <c r="G20" s="10">
        <v>45</v>
      </c>
      <c r="H20" s="11">
        <v>33.33</v>
      </c>
    </row>
    <row r="21" spans="1:8" x14ac:dyDescent="0.3">
      <c r="A21" s="35">
        <v>44773</v>
      </c>
      <c r="B21" s="10">
        <v>19</v>
      </c>
      <c r="C21" s="10" t="s">
        <v>63</v>
      </c>
      <c r="D21" s="10" t="s">
        <v>27</v>
      </c>
      <c r="E21" s="10" t="s">
        <v>28</v>
      </c>
      <c r="F21" s="10" t="s">
        <v>64</v>
      </c>
      <c r="G21" s="10">
        <v>50</v>
      </c>
      <c r="H21" s="11">
        <v>32</v>
      </c>
    </row>
    <row r="22" spans="1:8" x14ac:dyDescent="0.3">
      <c r="A22" s="35">
        <v>44804</v>
      </c>
      <c r="B22" s="10">
        <v>20</v>
      </c>
      <c r="C22" s="10" t="s">
        <v>65</v>
      </c>
      <c r="D22" s="10" t="s">
        <v>32</v>
      </c>
      <c r="E22" s="10" t="s">
        <v>33</v>
      </c>
      <c r="F22" s="10" t="s">
        <v>66</v>
      </c>
      <c r="G22" s="10">
        <v>55</v>
      </c>
      <c r="H22" s="11">
        <v>30.91</v>
      </c>
    </row>
    <row r="23" spans="1:8" x14ac:dyDescent="0.3">
      <c r="A23" s="35">
        <v>44834</v>
      </c>
      <c r="B23" s="10">
        <v>21</v>
      </c>
      <c r="C23" s="10" t="s">
        <v>67</v>
      </c>
      <c r="D23" s="10" t="s">
        <v>23</v>
      </c>
      <c r="E23" s="10" t="s">
        <v>20</v>
      </c>
      <c r="F23" s="10" t="s">
        <v>68</v>
      </c>
      <c r="G23" s="10">
        <v>60</v>
      </c>
      <c r="H23" s="11">
        <v>30</v>
      </c>
    </row>
    <row r="24" spans="1:8" x14ac:dyDescent="0.3">
      <c r="A24" s="35">
        <v>44865</v>
      </c>
      <c r="B24" s="10">
        <v>22</v>
      </c>
      <c r="C24" s="10" t="s">
        <v>69</v>
      </c>
      <c r="D24" s="10" t="s">
        <v>19</v>
      </c>
      <c r="E24" s="10" t="s">
        <v>97</v>
      </c>
      <c r="F24" s="10" t="s">
        <v>70</v>
      </c>
      <c r="G24" s="10">
        <v>0</v>
      </c>
      <c r="H24" s="10" t="s">
        <v>30</v>
      </c>
    </row>
    <row r="25" spans="1:8" x14ac:dyDescent="0.3">
      <c r="A25" s="35">
        <v>44895</v>
      </c>
      <c r="B25" s="10">
        <v>23</v>
      </c>
      <c r="C25" s="10" t="s">
        <v>71</v>
      </c>
      <c r="D25" s="10" t="s">
        <v>27</v>
      </c>
      <c r="E25" s="10" t="s">
        <v>28</v>
      </c>
      <c r="F25" s="10" t="s">
        <v>72</v>
      </c>
      <c r="G25" s="10">
        <v>65</v>
      </c>
      <c r="H25" s="11">
        <v>30.77</v>
      </c>
    </row>
    <row r="26" spans="1:8" x14ac:dyDescent="0.3">
      <c r="A26" s="35">
        <v>44926</v>
      </c>
      <c r="B26" s="10">
        <v>24</v>
      </c>
      <c r="C26" s="10" t="s">
        <v>73</v>
      </c>
      <c r="D26" s="10" t="s">
        <v>32</v>
      </c>
      <c r="E26" s="10" t="s">
        <v>33</v>
      </c>
      <c r="F26" s="10" t="s">
        <v>74</v>
      </c>
      <c r="G26" s="10">
        <v>70</v>
      </c>
      <c r="H26" s="11">
        <v>30</v>
      </c>
    </row>
    <row r="27" spans="1:8" x14ac:dyDescent="0.3">
      <c r="A27" s="35">
        <v>44957</v>
      </c>
      <c r="B27" s="10">
        <v>25</v>
      </c>
      <c r="C27" s="10" t="s">
        <v>75</v>
      </c>
      <c r="D27" s="10" t="s">
        <v>76</v>
      </c>
      <c r="E27" s="10" t="s">
        <v>77</v>
      </c>
      <c r="F27" s="10" t="s">
        <v>78</v>
      </c>
      <c r="G27" s="10">
        <v>75</v>
      </c>
      <c r="H27" s="11">
        <v>29.33</v>
      </c>
    </row>
    <row r="28" spans="1:8" x14ac:dyDescent="0.3">
      <c r="A28" s="35">
        <v>44985</v>
      </c>
      <c r="B28" s="10">
        <v>26</v>
      </c>
      <c r="C28" s="10" t="s">
        <v>79</v>
      </c>
      <c r="D28" s="10" t="s">
        <v>76</v>
      </c>
      <c r="E28" s="10" t="s">
        <v>80</v>
      </c>
      <c r="F28" s="10" t="s">
        <v>81</v>
      </c>
      <c r="G28" s="10">
        <v>80</v>
      </c>
      <c r="H28" s="11">
        <v>28.75</v>
      </c>
    </row>
    <row r="29" spans="1:8" x14ac:dyDescent="0.3">
      <c r="A29" s="35">
        <v>45016</v>
      </c>
      <c r="B29" s="10">
        <v>27</v>
      </c>
      <c r="C29" s="10" t="s">
        <v>51</v>
      </c>
      <c r="D29" s="10" t="s">
        <v>23</v>
      </c>
      <c r="E29" s="10" t="s">
        <v>82</v>
      </c>
      <c r="F29" s="10" t="s">
        <v>83</v>
      </c>
      <c r="G29" s="10">
        <v>0</v>
      </c>
      <c r="H29" s="10" t="s">
        <v>30</v>
      </c>
    </row>
    <row r="30" spans="1:8" x14ac:dyDescent="0.3">
      <c r="A30" s="35">
        <v>45046</v>
      </c>
      <c r="B30" s="10">
        <v>28</v>
      </c>
      <c r="C30" s="10" t="s">
        <v>49</v>
      </c>
      <c r="D30" s="10" t="s">
        <v>32</v>
      </c>
      <c r="E30" s="10" t="s">
        <v>84</v>
      </c>
      <c r="F30" s="10" t="s">
        <v>85</v>
      </c>
      <c r="G30" s="10">
        <v>85</v>
      </c>
      <c r="H30" s="11">
        <v>29.41</v>
      </c>
    </row>
    <row r="31" spans="1:8" x14ac:dyDescent="0.3">
      <c r="A31" s="36"/>
    </row>
  </sheetData>
  <conditionalFormatting sqref="B2:B30">
    <cfRule type="duplicateValues" dxfId="15" priority="1"/>
  </conditionalFormatting>
  <dataValidations count="1">
    <dataValidation type="list" allowBlank="1" showInputMessage="1" showErrorMessage="1" sqref="D3:D30" xr:uid="{E3869D90-3986-400E-9CAB-62734B6C8585}">
      <formula1>"North, South, East, West, Asgard"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43A3-EE9C-44DD-8374-BB243651186B}">
  <dimension ref="A1:O31"/>
  <sheetViews>
    <sheetView workbookViewId="0">
      <selection activeCell="G18" sqref="G18"/>
    </sheetView>
  </sheetViews>
  <sheetFormatPr defaultRowHeight="14.4" x14ac:dyDescent="0.3"/>
  <cols>
    <col min="1" max="1" width="14.88671875" bestFit="1" customWidth="1"/>
    <col min="2" max="2" width="7.44140625" bestFit="1" customWidth="1"/>
    <col min="3" max="3" width="17.5546875" bestFit="1" customWidth="1"/>
    <col min="4" max="4" width="11.6640625" bestFit="1" customWidth="1"/>
    <col min="5" max="5" width="11.109375" bestFit="1" customWidth="1"/>
    <col min="6" max="6" width="23.44140625" bestFit="1" customWidth="1"/>
    <col min="7" max="7" width="13.33203125" bestFit="1" customWidth="1"/>
    <col min="8" max="8" width="17.88671875" bestFit="1" customWidth="1"/>
  </cols>
  <sheetData>
    <row r="1" spans="1:15" s="7" customFormat="1" ht="48.75" customHeight="1" x14ac:dyDescent="0.4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s="14" customFormat="1" x14ac:dyDescent="0.3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3" t="s">
        <v>17</v>
      </c>
    </row>
    <row r="3" spans="1:15" x14ac:dyDescent="0.3">
      <c r="A3" s="16">
        <v>44227</v>
      </c>
      <c r="B3" s="20">
        <v>1</v>
      </c>
      <c r="C3" s="17" t="s">
        <v>91</v>
      </c>
      <c r="D3" s="17" t="s">
        <v>19</v>
      </c>
      <c r="E3" s="17" t="s">
        <v>20</v>
      </c>
      <c r="F3" s="17" t="s">
        <v>21</v>
      </c>
      <c r="G3" s="20">
        <v>10</v>
      </c>
      <c r="H3" s="18">
        <v>20</v>
      </c>
    </row>
    <row r="4" spans="1:15" x14ac:dyDescent="0.3">
      <c r="A4" s="16">
        <v>44255</v>
      </c>
      <c r="B4" s="20">
        <v>2</v>
      </c>
      <c r="C4" s="17" t="s">
        <v>22</v>
      </c>
      <c r="D4" s="17" t="s">
        <v>23</v>
      </c>
      <c r="E4" s="17" t="s">
        <v>97</v>
      </c>
      <c r="F4" s="17" t="s">
        <v>25</v>
      </c>
      <c r="G4" s="20">
        <v>15</v>
      </c>
      <c r="H4" s="18">
        <v>10</v>
      </c>
    </row>
    <row r="5" spans="1:15" x14ac:dyDescent="0.3">
      <c r="A5" s="16">
        <v>44286</v>
      </c>
      <c r="B5" s="20">
        <v>3</v>
      </c>
      <c r="C5" s="17" t="s">
        <v>92</v>
      </c>
      <c r="D5" s="17" t="s">
        <v>27</v>
      </c>
      <c r="E5" s="17" t="s">
        <v>28</v>
      </c>
      <c r="F5" s="17" t="s">
        <v>29</v>
      </c>
      <c r="G5" s="20">
        <v>0</v>
      </c>
      <c r="H5" s="17" t="s">
        <v>30</v>
      </c>
    </row>
    <row r="6" spans="1:15" x14ac:dyDescent="0.3">
      <c r="A6" s="16">
        <v>44316</v>
      </c>
      <c r="B6" s="20">
        <v>4</v>
      </c>
      <c r="C6" s="17" t="s">
        <v>93</v>
      </c>
      <c r="D6" s="17" t="s">
        <v>32</v>
      </c>
      <c r="E6" s="17" t="s">
        <v>33</v>
      </c>
      <c r="F6" s="17" t="s">
        <v>34</v>
      </c>
      <c r="G6" s="20">
        <v>25</v>
      </c>
      <c r="H6" s="18">
        <v>10</v>
      </c>
    </row>
    <row r="7" spans="1:15" x14ac:dyDescent="0.3">
      <c r="A7" s="16">
        <v>44347</v>
      </c>
      <c r="B7" s="20">
        <v>5</v>
      </c>
      <c r="C7" s="17" t="s">
        <v>35</v>
      </c>
      <c r="D7" s="17" t="s">
        <v>23</v>
      </c>
      <c r="E7" s="17" t="s">
        <v>20</v>
      </c>
      <c r="F7" s="17" t="s">
        <v>36</v>
      </c>
      <c r="G7" s="20">
        <v>30</v>
      </c>
      <c r="H7" s="18">
        <v>16.670000000000002</v>
      </c>
    </row>
    <row r="8" spans="1:15" x14ac:dyDescent="0.3">
      <c r="A8" s="16">
        <v>44377</v>
      </c>
      <c r="B8" s="20">
        <v>6</v>
      </c>
      <c r="C8" s="17" t="s">
        <v>94</v>
      </c>
      <c r="D8" s="19" t="s">
        <v>23</v>
      </c>
      <c r="E8" s="17" t="s">
        <v>97</v>
      </c>
      <c r="F8" s="17" t="s">
        <v>38</v>
      </c>
      <c r="G8" s="20">
        <v>0</v>
      </c>
      <c r="H8" s="17" t="s">
        <v>30</v>
      </c>
    </row>
    <row r="9" spans="1:15" x14ac:dyDescent="0.3">
      <c r="A9" s="16">
        <v>44408</v>
      </c>
      <c r="B9" s="20">
        <v>7</v>
      </c>
      <c r="C9" s="17" t="s">
        <v>39</v>
      </c>
      <c r="D9" s="17" t="s">
        <v>27</v>
      </c>
      <c r="E9" s="17" t="s">
        <v>28</v>
      </c>
      <c r="F9" s="17" t="s">
        <v>40</v>
      </c>
      <c r="G9" s="20">
        <v>35</v>
      </c>
      <c r="H9" s="18">
        <v>10</v>
      </c>
    </row>
    <row r="10" spans="1:15" x14ac:dyDescent="0.3">
      <c r="A10" s="16">
        <v>44439</v>
      </c>
      <c r="B10" s="20">
        <v>8</v>
      </c>
      <c r="C10" s="17" t="s">
        <v>41</v>
      </c>
      <c r="D10" s="17" t="s">
        <v>32</v>
      </c>
      <c r="E10" s="17" t="s">
        <v>33</v>
      </c>
      <c r="F10" s="17" t="s">
        <v>42</v>
      </c>
      <c r="G10" s="20">
        <v>40</v>
      </c>
      <c r="H10" s="18">
        <v>15</v>
      </c>
    </row>
    <row r="11" spans="1:15" x14ac:dyDescent="0.3">
      <c r="A11" s="16">
        <v>44469</v>
      </c>
      <c r="B11" s="20">
        <v>9</v>
      </c>
      <c r="C11" s="17" t="s">
        <v>43</v>
      </c>
      <c r="D11" s="17" t="s">
        <v>23</v>
      </c>
      <c r="E11" s="17" t="s">
        <v>20</v>
      </c>
      <c r="F11" s="17" t="s">
        <v>44</v>
      </c>
      <c r="G11" s="20">
        <v>45</v>
      </c>
      <c r="H11" s="18">
        <v>12.22</v>
      </c>
    </row>
    <row r="12" spans="1:15" x14ac:dyDescent="0.3">
      <c r="A12" s="16">
        <v>44500</v>
      </c>
      <c r="B12" s="20">
        <v>10</v>
      </c>
      <c r="C12" s="17" t="s">
        <v>45</v>
      </c>
      <c r="D12" s="17" t="s">
        <v>19</v>
      </c>
      <c r="E12" s="17" t="s">
        <v>97</v>
      </c>
      <c r="F12" s="17" t="s">
        <v>46</v>
      </c>
      <c r="G12" s="20">
        <v>50</v>
      </c>
      <c r="H12" s="18">
        <v>14</v>
      </c>
    </row>
    <row r="13" spans="1:15" x14ac:dyDescent="0.3">
      <c r="A13" s="16">
        <v>44530</v>
      </c>
      <c r="B13" s="20">
        <v>11</v>
      </c>
      <c r="C13" s="17" t="s">
        <v>47</v>
      </c>
      <c r="D13" s="17" t="s">
        <v>27</v>
      </c>
      <c r="E13" s="17" t="s">
        <v>28</v>
      </c>
      <c r="F13" s="17" t="s">
        <v>48</v>
      </c>
      <c r="G13" s="20">
        <v>5</v>
      </c>
      <c r="H13" s="18">
        <v>160</v>
      </c>
    </row>
    <row r="14" spans="1:15" x14ac:dyDescent="0.3">
      <c r="A14" s="16">
        <v>44561</v>
      </c>
      <c r="B14" s="20">
        <v>12</v>
      </c>
      <c r="C14" s="17" t="s">
        <v>49</v>
      </c>
      <c r="D14" s="17" t="s">
        <v>32</v>
      </c>
      <c r="E14" s="17" t="s">
        <v>33</v>
      </c>
      <c r="F14" s="17" t="s">
        <v>50</v>
      </c>
      <c r="G14" s="20">
        <v>20</v>
      </c>
      <c r="H14" s="18">
        <v>45</v>
      </c>
    </row>
    <row r="15" spans="1:15" x14ac:dyDescent="0.3">
      <c r="A15" s="16">
        <v>44592</v>
      </c>
      <c r="B15" s="20">
        <v>13</v>
      </c>
      <c r="C15" s="17" t="s">
        <v>51</v>
      </c>
      <c r="D15" s="17" t="s">
        <v>23</v>
      </c>
      <c r="E15" s="17" t="s">
        <v>20</v>
      </c>
      <c r="F15" s="17" t="s">
        <v>52</v>
      </c>
      <c r="G15" s="20">
        <v>0</v>
      </c>
      <c r="H15" s="17" t="s">
        <v>30</v>
      </c>
    </row>
    <row r="16" spans="1:15" x14ac:dyDescent="0.3">
      <c r="A16" s="16">
        <v>44620</v>
      </c>
      <c r="B16" s="20">
        <v>14</v>
      </c>
      <c r="C16" s="17" t="s">
        <v>53</v>
      </c>
      <c r="D16" s="19" t="s">
        <v>23</v>
      </c>
      <c r="E16" s="17" t="s">
        <v>97</v>
      </c>
      <c r="F16" s="17" t="s">
        <v>54</v>
      </c>
      <c r="G16" s="20">
        <v>30</v>
      </c>
      <c r="H16" s="18">
        <v>36.67</v>
      </c>
    </row>
    <row r="17" spans="1:8" x14ac:dyDescent="0.3">
      <c r="A17" s="16">
        <v>44651</v>
      </c>
      <c r="B17" s="20">
        <v>15</v>
      </c>
      <c r="C17" s="17" t="s">
        <v>55</v>
      </c>
      <c r="D17" s="17" t="s">
        <v>27</v>
      </c>
      <c r="E17" s="17" t="s">
        <v>28</v>
      </c>
      <c r="F17" s="17" t="s">
        <v>56</v>
      </c>
      <c r="G17" s="20">
        <v>35</v>
      </c>
      <c r="H17" s="18">
        <v>34.29</v>
      </c>
    </row>
    <row r="18" spans="1:8" x14ac:dyDescent="0.3">
      <c r="A18" s="16">
        <v>44681</v>
      </c>
      <c r="B18" s="20">
        <v>16</v>
      </c>
      <c r="C18" s="17" t="s">
        <v>57</v>
      </c>
      <c r="D18" s="19" t="s">
        <v>27</v>
      </c>
      <c r="E18" s="17" t="s">
        <v>33</v>
      </c>
      <c r="F18" s="17" t="s">
        <v>58</v>
      </c>
      <c r="G18" s="20">
        <v>0</v>
      </c>
      <c r="H18" s="17" t="s">
        <v>30</v>
      </c>
    </row>
    <row r="19" spans="1:8" x14ac:dyDescent="0.3">
      <c r="A19" s="16">
        <v>44712</v>
      </c>
      <c r="B19" s="20">
        <v>17</v>
      </c>
      <c r="C19" s="17" t="s">
        <v>59</v>
      </c>
      <c r="D19" s="17" t="s">
        <v>23</v>
      </c>
      <c r="E19" s="17" t="s">
        <v>20</v>
      </c>
      <c r="F19" s="17" t="s">
        <v>60</v>
      </c>
      <c r="G19" s="20">
        <v>40</v>
      </c>
      <c r="H19" s="18">
        <v>35</v>
      </c>
    </row>
    <row r="20" spans="1:8" x14ac:dyDescent="0.3">
      <c r="A20" s="16">
        <v>44742</v>
      </c>
      <c r="B20" s="20">
        <v>18</v>
      </c>
      <c r="C20" s="17" t="s">
        <v>61</v>
      </c>
      <c r="D20" s="17" t="s">
        <v>19</v>
      </c>
      <c r="E20" s="17" t="s">
        <v>97</v>
      </c>
      <c r="F20" s="17" t="s">
        <v>62</v>
      </c>
      <c r="G20" s="20">
        <v>45</v>
      </c>
      <c r="H20" s="18">
        <v>33.33</v>
      </c>
    </row>
    <row r="21" spans="1:8" x14ac:dyDescent="0.3">
      <c r="A21" s="16">
        <v>44773</v>
      </c>
      <c r="B21" s="20">
        <v>19</v>
      </c>
      <c r="C21" s="17" t="s">
        <v>63</v>
      </c>
      <c r="D21" s="17" t="s">
        <v>27</v>
      </c>
      <c r="E21" s="17" t="s">
        <v>28</v>
      </c>
      <c r="F21" s="17" t="s">
        <v>64</v>
      </c>
      <c r="G21" s="20">
        <v>50</v>
      </c>
      <c r="H21" s="18">
        <v>32</v>
      </c>
    </row>
    <row r="22" spans="1:8" x14ac:dyDescent="0.3">
      <c r="A22" s="16">
        <v>44804</v>
      </c>
      <c r="B22" s="20">
        <v>20</v>
      </c>
      <c r="C22" s="17" t="s">
        <v>65</v>
      </c>
      <c r="D22" s="17" t="s">
        <v>32</v>
      </c>
      <c r="E22" s="17" t="s">
        <v>33</v>
      </c>
      <c r="F22" s="17" t="s">
        <v>66</v>
      </c>
      <c r="G22" s="20">
        <v>55</v>
      </c>
      <c r="H22" s="18">
        <v>30.91</v>
      </c>
    </row>
    <row r="23" spans="1:8" x14ac:dyDescent="0.3">
      <c r="A23" s="16">
        <v>44834</v>
      </c>
      <c r="B23" s="20">
        <v>21</v>
      </c>
      <c r="C23" s="17" t="s">
        <v>67</v>
      </c>
      <c r="D23" s="17" t="s">
        <v>23</v>
      </c>
      <c r="E23" s="17" t="s">
        <v>20</v>
      </c>
      <c r="F23" s="17" t="s">
        <v>68</v>
      </c>
      <c r="G23" s="20">
        <v>60</v>
      </c>
      <c r="H23" s="18">
        <v>30</v>
      </c>
    </row>
    <row r="24" spans="1:8" x14ac:dyDescent="0.3">
      <c r="A24" s="16">
        <v>44865</v>
      </c>
      <c r="B24" s="20">
        <v>22</v>
      </c>
      <c r="C24" s="17" t="s">
        <v>69</v>
      </c>
      <c r="D24" s="17" t="s">
        <v>19</v>
      </c>
      <c r="E24" s="17" t="s">
        <v>97</v>
      </c>
      <c r="F24" s="17" t="s">
        <v>70</v>
      </c>
      <c r="G24" s="20">
        <v>0</v>
      </c>
      <c r="H24" s="17" t="s">
        <v>30</v>
      </c>
    </row>
    <row r="25" spans="1:8" x14ac:dyDescent="0.3">
      <c r="A25" s="16">
        <v>44895</v>
      </c>
      <c r="B25" s="20">
        <v>23</v>
      </c>
      <c r="C25" s="17" t="s">
        <v>71</v>
      </c>
      <c r="D25" s="17" t="s">
        <v>27</v>
      </c>
      <c r="E25" s="17" t="s">
        <v>28</v>
      </c>
      <c r="F25" s="17" t="s">
        <v>72</v>
      </c>
      <c r="G25" s="20">
        <v>65</v>
      </c>
      <c r="H25" s="18">
        <v>30.77</v>
      </c>
    </row>
    <row r="26" spans="1:8" x14ac:dyDescent="0.3">
      <c r="A26" s="16">
        <v>44926</v>
      </c>
      <c r="B26" s="20">
        <v>24</v>
      </c>
      <c r="C26" s="17" t="s">
        <v>73</v>
      </c>
      <c r="D26" s="17" t="s">
        <v>32</v>
      </c>
      <c r="E26" s="17" t="s">
        <v>33</v>
      </c>
      <c r="F26" s="17" t="s">
        <v>74</v>
      </c>
      <c r="G26" s="20">
        <v>70</v>
      </c>
      <c r="H26" s="18">
        <v>30</v>
      </c>
    </row>
    <row r="27" spans="1:8" x14ac:dyDescent="0.3">
      <c r="A27" s="16">
        <v>44957</v>
      </c>
      <c r="B27" s="20">
        <v>25</v>
      </c>
      <c r="C27" s="17" t="s">
        <v>75</v>
      </c>
      <c r="D27" s="17" t="s">
        <v>76</v>
      </c>
      <c r="E27" s="17" t="s">
        <v>77</v>
      </c>
      <c r="F27" s="17" t="s">
        <v>78</v>
      </c>
      <c r="G27" s="20">
        <v>75</v>
      </c>
      <c r="H27" s="18">
        <v>29.33</v>
      </c>
    </row>
    <row r="28" spans="1:8" x14ac:dyDescent="0.3">
      <c r="A28" s="16">
        <v>44985</v>
      </c>
      <c r="B28" s="20">
        <v>26</v>
      </c>
      <c r="C28" s="17" t="s">
        <v>79</v>
      </c>
      <c r="D28" s="17" t="s">
        <v>76</v>
      </c>
      <c r="E28" s="17" t="s">
        <v>80</v>
      </c>
      <c r="F28" s="17" t="s">
        <v>81</v>
      </c>
      <c r="G28" s="20">
        <v>80</v>
      </c>
      <c r="H28" s="18">
        <v>28.75</v>
      </c>
    </row>
    <row r="29" spans="1:8" x14ac:dyDescent="0.3">
      <c r="A29" s="16">
        <v>45016</v>
      </c>
      <c r="B29" s="20">
        <v>27</v>
      </c>
      <c r="C29" s="17" t="s">
        <v>51</v>
      </c>
      <c r="D29" s="17" t="s">
        <v>23</v>
      </c>
      <c r="E29" s="17" t="s">
        <v>82</v>
      </c>
      <c r="F29" s="17" t="s">
        <v>83</v>
      </c>
      <c r="G29" s="20">
        <v>0</v>
      </c>
      <c r="H29" s="17" t="s">
        <v>30</v>
      </c>
    </row>
    <row r="30" spans="1:8" x14ac:dyDescent="0.3">
      <c r="A30" s="16">
        <v>45046</v>
      </c>
      <c r="B30" s="20">
        <v>28</v>
      </c>
      <c r="C30" s="17" t="s">
        <v>49</v>
      </c>
      <c r="D30" s="17" t="s">
        <v>32</v>
      </c>
      <c r="E30" s="17" t="s">
        <v>84</v>
      </c>
      <c r="F30" s="17" t="s">
        <v>85</v>
      </c>
      <c r="G30" s="20">
        <v>85</v>
      </c>
      <c r="H30" s="18">
        <v>29.41</v>
      </c>
    </row>
    <row r="31" spans="1:8" x14ac:dyDescent="0.3">
      <c r="A31" s="17" t="s">
        <v>100</v>
      </c>
      <c r="B31" s="20"/>
      <c r="C31" s="17"/>
      <c r="D31" s="17"/>
      <c r="E31" s="17"/>
      <c r="F31" s="17"/>
      <c r="G31" s="20"/>
      <c r="H31" s="18">
        <f>SUBTOTAL(104,Table1[Price Per Unit])</f>
        <v>160</v>
      </c>
    </row>
  </sheetData>
  <conditionalFormatting sqref="B2:B30">
    <cfRule type="duplicateValues" dxfId="14" priority="1"/>
  </conditionalFormatting>
  <dataValidations count="1">
    <dataValidation type="list" allowBlank="1" showInputMessage="1" showErrorMessage="1" sqref="D3:D30" xr:uid="{6FD0EDEE-26F4-469B-8A9C-2CFE46C3F946}">
      <formula1>"North, South, East, West, Asgard"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BD40-4414-4762-BAB9-977F2F509B43}">
  <dimension ref="A1:O31"/>
  <sheetViews>
    <sheetView workbookViewId="0">
      <selection activeCell="F3" sqref="F3"/>
    </sheetView>
  </sheetViews>
  <sheetFormatPr defaultRowHeight="14.4" x14ac:dyDescent="0.3"/>
  <cols>
    <col min="1" max="1" width="14.88671875" bestFit="1" customWidth="1"/>
    <col min="2" max="2" width="7.44140625" bestFit="1" customWidth="1"/>
    <col min="3" max="3" width="17.5546875" bestFit="1" customWidth="1"/>
    <col min="4" max="4" width="11.6640625" bestFit="1" customWidth="1"/>
    <col min="5" max="5" width="11.109375" bestFit="1" customWidth="1"/>
    <col min="6" max="6" width="23.44140625" bestFit="1" customWidth="1"/>
    <col min="7" max="7" width="13.33203125" style="14" bestFit="1" customWidth="1"/>
    <col min="8" max="8" width="17.88671875" bestFit="1" customWidth="1"/>
    <col min="9" max="9" width="10.88671875" bestFit="1" customWidth="1"/>
    <col min="10" max="11" width="50.88671875" customWidth="1"/>
  </cols>
  <sheetData>
    <row r="1" spans="1:15" s="7" customFormat="1" ht="48.75" customHeight="1" x14ac:dyDescent="0.4">
      <c r="A1" s="6" t="s">
        <v>101</v>
      </c>
      <c r="B1" s="6"/>
      <c r="C1" s="6"/>
      <c r="D1" s="6"/>
      <c r="E1" s="6"/>
      <c r="F1" s="6"/>
      <c r="G1" s="22"/>
      <c r="H1" s="6"/>
      <c r="I1" s="6"/>
      <c r="J1" s="6"/>
      <c r="K1" s="6"/>
      <c r="L1" s="6"/>
      <c r="M1" s="6"/>
      <c r="N1" s="6"/>
      <c r="O1" s="6"/>
    </row>
    <row r="2" spans="1:15" s="14" customFormat="1" x14ac:dyDescent="0.3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23" t="s">
        <v>16</v>
      </c>
      <c r="H2" s="13" t="s">
        <v>17</v>
      </c>
      <c r="I2" s="15" t="s">
        <v>102</v>
      </c>
    </row>
    <row r="3" spans="1:15" x14ac:dyDescent="0.3">
      <c r="A3" s="16">
        <v>44227</v>
      </c>
      <c r="B3" s="20">
        <v>1</v>
      </c>
      <c r="C3" s="17" t="s">
        <v>91</v>
      </c>
      <c r="D3" s="17" t="s">
        <v>19</v>
      </c>
      <c r="E3" s="17" t="s">
        <v>20</v>
      </c>
      <c r="F3" s="17" t="s">
        <v>21</v>
      </c>
      <c r="G3" s="24">
        <v>10</v>
      </c>
      <c r="H3" s="18">
        <v>20</v>
      </c>
      <c r="I3" s="21">
        <f>IFERROR( Table134[[#This Row],[Quantity]]*Table134[[#This Row],[Price Per Unit]], "")</f>
        <v>200</v>
      </c>
    </row>
    <row r="4" spans="1:15" x14ac:dyDescent="0.3">
      <c r="A4" s="16">
        <v>44255</v>
      </c>
      <c r="B4" s="20">
        <v>2</v>
      </c>
      <c r="C4" s="17" t="s">
        <v>22</v>
      </c>
      <c r="D4" s="17" t="s">
        <v>23</v>
      </c>
      <c r="E4" s="17" t="s">
        <v>97</v>
      </c>
      <c r="F4" s="17" t="s">
        <v>25</v>
      </c>
      <c r="G4" s="24">
        <v>15</v>
      </c>
      <c r="H4" s="18">
        <v>10</v>
      </c>
      <c r="I4" s="21">
        <f>IFERROR( Table134[[#This Row],[Quantity]]*Table134[[#This Row],[Price Per Unit]], "")</f>
        <v>150</v>
      </c>
    </row>
    <row r="5" spans="1:15" x14ac:dyDescent="0.3">
      <c r="A5" s="16">
        <v>44286</v>
      </c>
      <c r="B5" s="20">
        <v>3</v>
      </c>
      <c r="C5" s="17" t="s">
        <v>92</v>
      </c>
      <c r="D5" s="17" t="s">
        <v>27</v>
      </c>
      <c r="E5" s="17" t="s">
        <v>28</v>
      </c>
      <c r="F5" s="17" t="s">
        <v>29</v>
      </c>
      <c r="G5" s="24">
        <v>0</v>
      </c>
      <c r="H5" s="17" t="s">
        <v>30</v>
      </c>
      <c r="I5" s="21" t="str">
        <f>IFERROR( Table134[[#This Row],[Quantity]]*Table134[[#This Row],[Price Per Unit]], "")</f>
        <v/>
      </c>
    </row>
    <row r="6" spans="1:15" x14ac:dyDescent="0.3">
      <c r="A6" s="16">
        <v>44316</v>
      </c>
      <c r="B6" s="20">
        <v>4</v>
      </c>
      <c r="C6" s="17" t="s">
        <v>93</v>
      </c>
      <c r="D6" s="17" t="s">
        <v>32</v>
      </c>
      <c r="E6" s="17" t="s">
        <v>33</v>
      </c>
      <c r="F6" s="17" t="s">
        <v>34</v>
      </c>
      <c r="G6" s="24">
        <v>25</v>
      </c>
      <c r="H6" s="18">
        <v>10</v>
      </c>
      <c r="I6" s="21">
        <f>IFERROR( Table134[[#This Row],[Quantity]]*Table134[[#This Row],[Price Per Unit]], "")</f>
        <v>250</v>
      </c>
    </row>
    <row r="7" spans="1:15" x14ac:dyDescent="0.3">
      <c r="A7" s="16">
        <v>44347</v>
      </c>
      <c r="B7" s="20">
        <v>5</v>
      </c>
      <c r="C7" s="17" t="s">
        <v>35</v>
      </c>
      <c r="D7" s="17" t="s">
        <v>23</v>
      </c>
      <c r="E7" s="17" t="s">
        <v>20</v>
      </c>
      <c r="F7" s="17" t="s">
        <v>36</v>
      </c>
      <c r="G7" s="24">
        <v>30</v>
      </c>
      <c r="H7" s="18">
        <v>16.670000000000002</v>
      </c>
      <c r="I7" s="21">
        <f>IFERROR( Table134[[#This Row],[Quantity]]*Table134[[#This Row],[Price Per Unit]], "")</f>
        <v>500.1</v>
      </c>
    </row>
    <row r="8" spans="1:15" x14ac:dyDescent="0.3">
      <c r="A8" s="16">
        <v>44377</v>
      </c>
      <c r="B8" s="20">
        <v>6</v>
      </c>
      <c r="C8" s="17" t="s">
        <v>94</v>
      </c>
      <c r="D8" s="19" t="s">
        <v>95</v>
      </c>
      <c r="E8" s="17" t="s">
        <v>97</v>
      </c>
      <c r="F8" s="17" t="s">
        <v>38</v>
      </c>
      <c r="G8" s="24">
        <v>0</v>
      </c>
      <c r="H8" s="17" t="s">
        <v>30</v>
      </c>
      <c r="I8" s="21" t="str">
        <f>IFERROR( Table134[[#This Row],[Quantity]]*Table134[[#This Row],[Price Per Unit]], "")</f>
        <v/>
      </c>
    </row>
    <row r="9" spans="1:15" x14ac:dyDescent="0.3">
      <c r="A9" s="16">
        <v>44408</v>
      </c>
      <c r="B9" s="20">
        <v>7</v>
      </c>
      <c r="C9" s="17" t="s">
        <v>39</v>
      </c>
      <c r="D9" s="17" t="s">
        <v>27</v>
      </c>
      <c r="E9" s="17" t="s">
        <v>28</v>
      </c>
      <c r="F9" s="17" t="s">
        <v>40</v>
      </c>
      <c r="G9" s="24">
        <v>35</v>
      </c>
      <c r="H9" s="18">
        <v>10</v>
      </c>
      <c r="I9" s="21">
        <f>IFERROR( Table134[[#This Row],[Quantity]]*Table134[[#This Row],[Price Per Unit]], "")</f>
        <v>350</v>
      </c>
    </row>
    <row r="10" spans="1:15" x14ac:dyDescent="0.3">
      <c r="A10" s="16">
        <v>44439</v>
      </c>
      <c r="B10" s="20">
        <v>8</v>
      </c>
      <c r="C10" s="17" t="s">
        <v>41</v>
      </c>
      <c r="D10" s="17" t="s">
        <v>32</v>
      </c>
      <c r="E10" s="17" t="s">
        <v>33</v>
      </c>
      <c r="F10" s="17" t="s">
        <v>42</v>
      </c>
      <c r="G10" s="24">
        <v>40</v>
      </c>
      <c r="H10" s="18">
        <v>15</v>
      </c>
      <c r="I10" s="21">
        <f>IFERROR( Table134[[#This Row],[Quantity]]*Table134[[#This Row],[Price Per Unit]], "")</f>
        <v>600</v>
      </c>
    </row>
    <row r="11" spans="1:15" x14ac:dyDescent="0.3">
      <c r="A11" s="16">
        <v>44469</v>
      </c>
      <c r="B11" s="20">
        <v>9</v>
      </c>
      <c r="C11" s="17" t="s">
        <v>43</v>
      </c>
      <c r="D11" s="17" t="s">
        <v>23</v>
      </c>
      <c r="E11" s="17" t="s">
        <v>20</v>
      </c>
      <c r="F11" s="17" t="s">
        <v>44</v>
      </c>
      <c r="G11" s="24">
        <v>45</v>
      </c>
      <c r="H11" s="18">
        <v>12.22</v>
      </c>
      <c r="I11" s="21">
        <f>IFERROR( Table134[[#This Row],[Quantity]]*Table134[[#This Row],[Price Per Unit]], "")</f>
        <v>549.9</v>
      </c>
    </row>
    <row r="12" spans="1:15" x14ac:dyDescent="0.3">
      <c r="A12" s="16">
        <v>44500</v>
      </c>
      <c r="B12" s="20">
        <v>10</v>
      </c>
      <c r="C12" s="17" t="s">
        <v>45</v>
      </c>
      <c r="D12" s="17" t="s">
        <v>19</v>
      </c>
      <c r="E12" s="17" t="s">
        <v>97</v>
      </c>
      <c r="F12" s="17" t="s">
        <v>46</v>
      </c>
      <c r="G12" s="24">
        <v>50</v>
      </c>
      <c r="H12" s="18">
        <v>14</v>
      </c>
      <c r="I12" s="21">
        <f>IFERROR( Table134[[#This Row],[Quantity]]*Table134[[#This Row],[Price Per Unit]], "")</f>
        <v>700</v>
      </c>
    </row>
    <row r="13" spans="1:15" x14ac:dyDescent="0.3">
      <c r="A13" s="16">
        <v>44530</v>
      </c>
      <c r="B13" s="20">
        <v>11</v>
      </c>
      <c r="C13" s="17" t="s">
        <v>47</v>
      </c>
      <c r="D13" s="17" t="s">
        <v>27</v>
      </c>
      <c r="E13" s="17" t="s">
        <v>28</v>
      </c>
      <c r="F13" s="17" t="s">
        <v>48</v>
      </c>
      <c r="G13" s="24">
        <v>5</v>
      </c>
      <c r="H13" s="18">
        <v>160</v>
      </c>
      <c r="I13" s="21">
        <f>IFERROR( Table134[[#This Row],[Quantity]]*Table134[[#This Row],[Price Per Unit]], "")</f>
        <v>800</v>
      </c>
    </row>
    <row r="14" spans="1:15" x14ac:dyDescent="0.3">
      <c r="A14" s="16">
        <v>44561</v>
      </c>
      <c r="B14" s="20">
        <v>12</v>
      </c>
      <c r="C14" s="17" t="s">
        <v>49</v>
      </c>
      <c r="D14" s="17" t="s">
        <v>32</v>
      </c>
      <c r="E14" s="17" t="s">
        <v>33</v>
      </c>
      <c r="F14" s="17" t="s">
        <v>50</v>
      </c>
      <c r="G14" s="24">
        <v>20</v>
      </c>
      <c r="H14" s="18">
        <v>45</v>
      </c>
      <c r="I14" s="21">
        <f>IFERROR( Table134[[#This Row],[Quantity]]*Table134[[#This Row],[Price Per Unit]], "")</f>
        <v>900</v>
      </c>
    </row>
    <row r="15" spans="1:15" x14ac:dyDescent="0.3">
      <c r="A15" s="16">
        <v>44592</v>
      </c>
      <c r="B15" s="20">
        <v>13</v>
      </c>
      <c r="C15" s="17" t="s">
        <v>51</v>
      </c>
      <c r="D15" s="17" t="s">
        <v>23</v>
      </c>
      <c r="E15" s="17" t="s">
        <v>20</v>
      </c>
      <c r="F15" s="17" t="s">
        <v>52</v>
      </c>
      <c r="G15" s="24">
        <v>0</v>
      </c>
      <c r="H15" s="17" t="s">
        <v>30</v>
      </c>
      <c r="I15" s="21" t="str">
        <f>IFERROR( Table134[[#This Row],[Quantity]]*Table134[[#This Row],[Price Per Unit]], "")</f>
        <v/>
      </c>
    </row>
    <row r="16" spans="1:15" x14ac:dyDescent="0.3">
      <c r="A16" s="16">
        <v>44620</v>
      </c>
      <c r="B16" s="20">
        <v>14</v>
      </c>
      <c r="C16" s="17" t="s">
        <v>53</v>
      </c>
      <c r="D16" s="19" t="s">
        <v>95</v>
      </c>
      <c r="E16" s="17" t="s">
        <v>97</v>
      </c>
      <c r="F16" s="17" t="s">
        <v>54</v>
      </c>
      <c r="G16" s="24">
        <v>30</v>
      </c>
      <c r="H16" s="18">
        <v>36.67</v>
      </c>
      <c r="I16" s="21">
        <f>IFERROR( Table134[[#This Row],[Quantity]]*Table134[[#This Row],[Price Per Unit]], "")</f>
        <v>1100.1000000000001</v>
      </c>
    </row>
    <row r="17" spans="1:9" x14ac:dyDescent="0.3">
      <c r="A17" s="16">
        <v>44651</v>
      </c>
      <c r="B17" s="20">
        <v>15</v>
      </c>
      <c r="C17" s="17" t="s">
        <v>55</v>
      </c>
      <c r="D17" s="17" t="s">
        <v>27</v>
      </c>
      <c r="E17" s="17" t="s">
        <v>28</v>
      </c>
      <c r="F17" s="17" t="s">
        <v>56</v>
      </c>
      <c r="G17" s="24">
        <v>35</v>
      </c>
      <c r="H17" s="18">
        <v>34.29</v>
      </c>
      <c r="I17" s="21">
        <f>IFERROR( Table134[[#This Row],[Quantity]]*Table134[[#This Row],[Price Per Unit]], "")</f>
        <v>1200.1499999999999</v>
      </c>
    </row>
    <row r="18" spans="1:9" x14ac:dyDescent="0.3">
      <c r="A18" s="16">
        <v>44681</v>
      </c>
      <c r="B18" s="20">
        <v>16</v>
      </c>
      <c r="C18" s="17" t="s">
        <v>57</v>
      </c>
      <c r="D18" s="19" t="s">
        <v>95</v>
      </c>
      <c r="E18" s="17" t="s">
        <v>33</v>
      </c>
      <c r="F18" s="17" t="s">
        <v>58</v>
      </c>
      <c r="G18" s="24">
        <v>0</v>
      </c>
      <c r="H18" s="17" t="s">
        <v>30</v>
      </c>
      <c r="I18" s="21" t="str">
        <f>IFERROR( Table134[[#This Row],[Quantity]]*Table134[[#This Row],[Price Per Unit]], "")</f>
        <v/>
      </c>
    </row>
    <row r="19" spans="1:9" x14ac:dyDescent="0.3">
      <c r="A19" s="16">
        <v>44712</v>
      </c>
      <c r="B19" s="20">
        <v>17</v>
      </c>
      <c r="C19" s="17" t="s">
        <v>59</v>
      </c>
      <c r="D19" s="17" t="s">
        <v>23</v>
      </c>
      <c r="E19" s="17" t="s">
        <v>20</v>
      </c>
      <c r="F19" s="17" t="s">
        <v>60</v>
      </c>
      <c r="G19" s="24">
        <v>40</v>
      </c>
      <c r="H19" s="18">
        <v>35</v>
      </c>
      <c r="I19" s="21">
        <f>IFERROR( Table134[[#This Row],[Quantity]]*Table134[[#This Row],[Price Per Unit]], "")</f>
        <v>1400</v>
      </c>
    </row>
    <row r="20" spans="1:9" x14ac:dyDescent="0.3">
      <c r="A20" s="16">
        <v>44742</v>
      </c>
      <c r="B20" s="20">
        <v>18</v>
      </c>
      <c r="C20" s="17" t="s">
        <v>61</v>
      </c>
      <c r="D20" s="17" t="s">
        <v>19</v>
      </c>
      <c r="E20" s="17" t="s">
        <v>97</v>
      </c>
      <c r="F20" s="17" t="s">
        <v>62</v>
      </c>
      <c r="G20" s="24">
        <v>45</v>
      </c>
      <c r="H20" s="18">
        <v>33.33</v>
      </c>
      <c r="I20" s="21">
        <f>IFERROR( Table134[[#This Row],[Quantity]]*Table134[[#This Row],[Price Per Unit]], "")</f>
        <v>1499.85</v>
      </c>
    </row>
    <row r="21" spans="1:9" x14ac:dyDescent="0.3">
      <c r="A21" s="16">
        <v>44773</v>
      </c>
      <c r="B21" s="20">
        <v>19</v>
      </c>
      <c r="C21" s="17" t="s">
        <v>63</v>
      </c>
      <c r="D21" s="17" t="s">
        <v>27</v>
      </c>
      <c r="E21" s="17" t="s">
        <v>28</v>
      </c>
      <c r="F21" s="17" t="s">
        <v>64</v>
      </c>
      <c r="G21" s="24">
        <v>50</v>
      </c>
      <c r="H21" s="18">
        <v>32</v>
      </c>
      <c r="I21" s="21">
        <f>IFERROR( Table134[[#This Row],[Quantity]]*Table134[[#This Row],[Price Per Unit]], "")</f>
        <v>1600</v>
      </c>
    </row>
    <row r="22" spans="1:9" x14ac:dyDescent="0.3">
      <c r="A22" s="16">
        <v>44804</v>
      </c>
      <c r="B22" s="20">
        <v>20</v>
      </c>
      <c r="C22" s="17" t="s">
        <v>65</v>
      </c>
      <c r="D22" s="17" t="s">
        <v>32</v>
      </c>
      <c r="E22" s="17" t="s">
        <v>33</v>
      </c>
      <c r="F22" s="17" t="s">
        <v>66</v>
      </c>
      <c r="G22" s="24">
        <v>55</v>
      </c>
      <c r="H22" s="18">
        <v>30.91</v>
      </c>
      <c r="I22" s="21">
        <f>IFERROR( Table134[[#This Row],[Quantity]]*Table134[[#This Row],[Price Per Unit]], "")</f>
        <v>1700.05</v>
      </c>
    </row>
    <row r="23" spans="1:9" x14ac:dyDescent="0.3">
      <c r="A23" s="16">
        <v>44834</v>
      </c>
      <c r="B23" s="20">
        <v>21</v>
      </c>
      <c r="C23" s="17" t="s">
        <v>67</v>
      </c>
      <c r="D23" s="17" t="s">
        <v>23</v>
      </c>
      <c r="E23" s="17" t="s">
        <v>20</v>
      </c>
      <c r="F23" s="17" t="s">
        <v>68</v>
      </c>
      <c r="G23" s="24">
        <v>60</v>
      </c>
      <c r="H23" s="18">
        <v>30</v>
      </c>
      <c r="I23" s="21">
        <f>IFERROR( Table134[[#This Row],[Quantity]]*Table134[[#This Row],[Price Per Unit]], "")</f>
        <v>1800</v>
      </c>
    </row>
    <row r="24" spans="1:9" x14ac:dyDescent="0.3">
      <c r="A24" s="16">
        <v>44865</v>
      </c>
      <c r="B24" s="20">
        <v>22</v>
      </c>
      <c r="C24" s="17" t="s">
        <v>69</v>
      </c>
      <c r="D24" s="17" t="s">
        <v>19</v>
      </c>
      <c r="E24" s="17" t="s">
        <v>97</v>
      </c>
      <c r="F24" s="17" t="s">
        <v>70</v>
      </c>
      <c r="G24" s="24">
        <v>0</v>
      </c>
      <c r="H24" s="17" t="s">
        <v>30</v>
      </c>
      <c r="I24" s="21" t="str">
        <f>IFERROR( Table134[[#This Row],[Quantity]]*Table134[[#This Row],[Price Per Unit]], "")</f>
        <v/>
      </c>
    </row>
    <row r="25" spans="1:9" x14ac:dyDescent="0.3">
      <c r="A25" s="16">
        <v>44895</v>
      </c>
      <c r="B25" s="20">
        <v>23</v>
      </c>
      <c r="C25" s="17" t="s">
        <v>71</v>
      </c>
      <c r="D25" s="17" t="s">
        <v>27</v>
      </c>
      <c r="E25" s="17" t="s">
        <v>28</v>
      </c>
      <c r="F25" s="17" t="s">
        <v>72</v>
      </c>
      <c r="G25" s="24">
        <v>65</v>
      </c>
      <c r="H25" s="18">
        <v>30.77</v>
      </c>
      <c r="I25" s="21">
        <f>IFERROR( Table134[[#This Row],[Quantity]]*Table134[[#This Row],[Price Per Unit]], "")</f>
        <v>2000.05</v>
      </c>
    </row>
    <row r="26" spans="1:9" x14ac:dyDescent="0.3">
      <c r="A26" s="16">
        <v>44926</v>
      </c>
      <c r="B26" s="20">
        <v>24</v>
      </c>
      <c r="C26" s="17" t="s">
        <v>73</v>
      </c>
      <c r="D26" s="17" t="s">
        <v>32</v>
      </c>
      <c r="E26" s="17" t="s">
        <v>33</v>
      </c>
      <c r="F26" s="17" t="s">
        <v>74</v>
      </c>
      <c r="G26" s="24">
        <v>70</v>
      </c>
      <c r="H26" s="18">
        <v>30</v>
      </c>
      <c r="I26" s="21">
        <f>IFERROR( Table134[[#This Row],[Quantity]]*Table134[[#This Row],[Price Per Unit]], "")</f>
        <v>2100</v>
      </c>
    </row>
    <row r="27" spans="1:9" x14ac:dyDescent="0.3">
      <c r="A27" s="16">
        <v>44957</v>
      </c>
      <c r="B27" s="20">
        <v>25</v>
      </c>
      <c r="C27" s="17" t="s">
        <v>75</v>
      </c>
      <c r="D27" s="17" t="s">
        <v>76</v>
      </c>
      <c r="E27" s="17" t="s">
        <v>77</v>
      </c>
      <c r="F27" s="17" t="s">
        <v>78</v>
      </c>
      <c r="G27" s="24">
        <v>75</v>
      </c>
      <c r="H27" s="18">
        <v>29.33</v>
      </c>
      <c r="I27" s="21">
        <f>IFERROR( Table134[[#This Row],[Quantity]]*Table134[[#This Row],[Price Per Unit]], "")</f>
        <v>2199.75</v>
      </c>
    </row>
    <row r="28" spans="1:9" x14ac:dyDescent="0.3">
      <c r="A28" s="16">
        <v>44985</v>
      </c>
      <c r="B28" s="20">
        <v>26</v>
      </c>
      <c r="C28" s="17" t="s">
        <v>79</v>
      </c>
      <c r="D28" s="17" t="s">
        <v>76</v>
      </c>
      <c r="E28" s="17" t="s">
        <v>80</v>
      </c>
      <c r="F28" s="17" t="s">
        <v>81</v>
      </c>
      <c r="G28" s="24">
        <v>80</v>
      </c>
      <c r="H28" s="18">
        <v>28.75</v>
      </c>
      <c r="I28" s="21">
        <f>IFERROR( Table134[[#This Row],[Quantity]]*Table134[[#This Row],[Price Per Unit]], "")</f>
        <v>2300</v>
      </c>
    </row>
    <row r="29" spans="1:9" x14ac:dyDescent="0.3">
      <c r="A29" s="16">
        <v>45016</v>
      </c>
      <c r="B29" s="20">
        <v>27</v>
      </c>
      <c r="C29" s="17" t="s">
        <v>51</v>
      </c>
      <c r="D29" s="17" t="s">
        <v>23</v>
      </c>
      <c r="E29" s="17" t="s">
        <v>82</v>
      </c>
      <c r="F29" s="17" t="s">
        <v>83</v>
      </c>
      <c r="G29" s="24">
        <v>0</v>
      </c>
      <c r="H29" s="17" t="s">
        <v>30</v>
      </c>
      <c r="I29" s="21" t="str">
        <f>IFERROR( Table134[[#This Row],[Quantity]]*Table134[[#This Row],[Price Per Unit]], "")</f>
        <v/>
      </c>
    </row>
    <row r="30" spans="1:9" x14ac:dyDescent="0.3">
      <c r="A30" s="16">
        <v>45046</v>
      </c>
      <c r="B30" s="20">
        <v>28</v>
      </c>
      <c r="C30" s="17" t="s">
        <v>49</v>
      </c>
      <c r="D30" s="17" t="s">
        <v>32</v>
      </c>
      <c r="E30" s="17" t="s">
        <v>84</v>
      </c>
      <c r="F30" s="17" t="s">
        <v>85</v>
      </c>
      <c r="G30" s="24">
        <v>85</v>
      </c>
      <c r="H30" s="18">
        <v>29.41</v>
      </c>
      <c r="I30" s="21">
        <f>IFERROR( Table134[[#This Row],[Quantity]]*Table134[[#This Row],[Price Per Unit]], "")</f>
        <v>2499.85</v>
      </c>
    </row>
    <row r="31" spans="1:9" x14ac:dyDescent="0.3">
      <c r="A31" s="17" t="s">
        <v>100</v>
      </c>
      <c r="B31" s="20"/>
      <c r="C31" s="17"/>
      <c r="D31" s="17"/>
      <c r="E31" s="17"/>
      <c r="F31" s="17"/>
      <c r="G31" s="24"/>
      <c r="H31" s="18">
        <f>SUBTOTAL(104,Table134[Price Per Unit])</f>
        <v>160</v>
      </c>
      <c r="I31" s="18">
        <f>SUBTOTAL(109,Table134[Sales])</f>
        <v>26399.8</v>
      </c>
    </row>
  </sheetData>
  <conditionalFormatting sqref="B2:B30">
    <cfRule type="duplicateValues" dxfId="13" priority="1"/>
  </conditionalFormatting>
  <dataValidations count="1">
    <dataValidation type="list" allowBlank="1" showInputMessage="1" showErrorMessage="1" sqref="D3:D30" xr:uid="{E4E649F5-048B-4864-A418-E0D71242FA56}">
      <formula1>"North, South, East, West, Asgard"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97F7-CE5A-4DDC-9899-81E8756DCCF0}">
  <dimension ref="A1:O31"/>
  <sheetViews>
    <sheetView workbookViewId="0">
      <selection activeCell="G11" sqref="G11"/>
    </sheetView>
  </sheetViews>
  <sheetFormatPr defaultRowHeight="14.4" x14ac:dyDescent="0.3"/>
  <cols>
    <col min="1" max="1" width="12.88671875" style="34" customWidth="1"/>
    <col min="2" max="2" width="7.44140625" bestFit="1" customWidth="1"/>
    <col min="3" max="3" width="17.5546875" bestFit="1" customWidth="1"/>
    <col min="4" max="4" width="11.6640625" bestFit="1" customWidth="1"/>
    <col min="5" max="5" width="11.109375" bestFit="1" customWidth="1"/>
    <col min="6" max="6" width="23.44140625" bestFit="1" customWidth="1"/>
    <col min="7" max="7" width="13.33203125" style="14" bestFit="1" customWidth="1"/>
    <col min="8" max="8" width="17.88671875" style="30" bestFit="1" customWidth="1"/>
    <col min="9" max="9" width="10.88671875" style="30" bestFit="1" customWidth="1"/>
    <col min="10" max="11" width="50.88671875" customWidth="1"/>
  </cols>
  <sheetData>
    <row r="1" spans="1:15" s="7" customFormat="1" ht="48.75" customHeight="1" x14ac:dyDescent="0.4">
      <c r="A1" s="32" t="s">
        <v>103</v>
      </c>
      <c r="B1" s="6"/>
      <c r="C1" s="6"/>
      <c r="D1" s="6"/>
      <c r="E1" s="6"/>
      <c r="F1" s="6"/>
      <c r="G1" s="22"/>
      <c r="H1" s="25"/>
      <c r="I1" s="25"/>
      <c r="J1" s="6"/>
      <c r="K1" s="6"/>
      <c r="L1" s="6"/>
      <c r="M1" s="6"/>
      <c r="N1" s="6"/>
      <c r="O1" s="6"/>
    </row>
    <row r="2" spans="1:15" s="14" customFormat="1" x14ac:dyDescent="0.3">
      <c r="A2" s="31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23" t="s">
        <v>16</v>
      </c>
      <c r="H2" s="26" t="s">
        <v>17</v>
      </c>
      <c r="I2" s="27" t="s">
        <v>102</v>
      </c>
    </row>
    <row r="3" spans="1:15" x14ac:dyDescent="0.3">
      <c r="A3" s="37">
        <v>44227</v>
      </c>
      <c r="B3" s="20">
        <v>1</v>
      </c>
      <c r="C3" s="17" t="s">
        <v>91</v>
      </c>
      <c r="D3" s="17" t="s">
        <v>19</v>
      </c>
      <c r="E3" s="17" t="s">
        <v>20</v>
      </c>
      <c r="F3" s="17" t="s">
        <v>21</v>
      </c>
      <c r="G3" s="24">
        <v>10</v>
      </c>
      <c r="H3" s="28">
        <v>20</v>
      </c>
      <c r="I3" s="29">
        <f>IFERROR( Table1345[[#This Row],[Quantity]]*Table1345[[#This Row],[Price Per Unit]], "")</f>
        <v>200</v>
      </c>
    </row>
    <row r="4" spans="1:15" x14ac:dyDescent="0.3">
      <c r="A4" s="37">
        <v>44255</v>
      </c>
      <c r="B4" s="20">
        <v>2</v>
      </c>
      <c r="C4" s="17" t="s">
        <v>22</v>
      </c>
      <c r="D4" s="17" t="s">
        <v>23</v>
      </c>
      <c r="E4" s="17" t="s">
        <v>97</v>
      </c>
      <c r="F4" s="17" t="s">
        <v>25</v>
      </c>
      <c r="G4" s="24">
        <v>15</v>
      </c>
      <c r="H4" s="28">
        <v>10</v>
      </c>
      <c r="I4" s="29">
        <f>IFERROR( Table1345[[#This Row],[Quantity]]*Table1345[[#This Row],[Price Per Unit]], "")</f>
        <v>150</v>
      </c>
    </row>
    <row r="5" spans="1:15" x14ac:dyDescent="0.3">
      <c r="A5" s="37">
        <v>44286</v>
      </c>
      <c r="B5" s="20">
        <v>3</v>
      </c>
      <c r="C5" s="17" t="s">
        <v>92</v>
      </c>
      <c r="D5" s="17" t="s">
        <v>27</v>
      </c>
      <c r="E5" s="17" t="s">
        <v>28</v>
      </c>
      <c r="F5" s="17" t="s">
        <v>29</v>
      </c>
      <c r="G5" s="24">
        <v>0</v>
      </c>
      <c r="H5" s="28" t="s">
        <v>30</v>
      </c>
      <c r="I5" s="29" t="str">
        <f>IFERROR( Table1345[[#This Row],[Quantity]]*Table1345[[#This Row],[Price Per Unit]], "")</f>
        <v/>
      </c>
    </row>
    <row r="6" spans="1:15" x14ac:dyDescent="0.3">
      <c r="A6" s="37">
        <v>44316</v>
      </c>
      <c r="B6" s="20">
        <v>4</v>
      </c>
      <c r="C6" s="17" t="s">
        <v>93</v>
      </c>
      <c r="D6" s="17" t="s">
        <v>32</v>
      </c>
      <c r="E6" s="17" t="s">
        <v>33</v>
      </c>
      <c r="F6" s="17" t="s">
        <v>34</v>
      </c>
      <c r="G6" s="24">
        <v>25</v>
      </c>
      <c r="H6" s="28">
        <v>10</v>
      </c>
      <c r="I6" s="29">
        <f>IFERROR( Table1345[[#This Row],[Quantity]]*Table1345[[#This Row],[Price Per Unit]], "")</f>
        <v>250</v>
      </c>
    </row>
    <row r="7" spans="1:15" x14ac:dyDescent="0.3">
      <c r="A7" s="37">
        <v>44347</v>
      </c>
      <c r="B7" s="20">
        <v>5</v>
      </c>
      <c r="C7" s="17" t="s">
        <v>35</v>
      </c>
      <c r="D7" s="17" t="s">
        <v>23</v>
      </c>
      <c r="E7" s="17" t="s">
        <v>20</v>
      </c>
      <c r="F7" s="17" t="s">
        <v>36</v>
      </c>
      <c r="G7" s="24">
        <v>30</v>
      </c>
      <c r="H7" s="28">
        <v>16.670000000000002</v>
      </c>
      <c r="I7" s="29">
        <f>IFERROR( Table1345[[#This Row],[Quantity]]*Table1345[[#This Row],[Price Per Unit]], "")</f>
        <v>500.1</v>
      </c>
    </row>
    <row r="8" spans="1:15" x14ac:dyDescent="0.3">
      <c r="A8" s="37">
        <v>44377</v>
      </c>
      <c r="B8" s="20">
        <v>6</v>
      </c>
      <c r="C8" s="17" t="s">
        <v>94</v>
      </c>
      <c r="D8" s="19" t="s">
        <v>95</v>
      </c>
      <c r="E8" s="17" t="s">
        <v>97</v>
      </c>
      <c r="F8" s="17" t="s">
        <v>38</v>
      </c>
      <c r="G8" s="24">
        <v>0</v>
      </c>
      <c r="H8" s="28" t="s">
        <v>30</v>
      </c>
      <c r="I8" s="29" t="str">
        <f>IFERROR( Table1345[[#This Row],[Quantity]]*Table1345[[#This Row],[Price Per Unit]], "")</f>
        <v/>
      </c>
    </row>
    <row r="9" spans="1:15" x14ac:dyDescent="0.3">
      <c r="A9" s="37">
        <v>44408</v>
      </c>
      <c r="B9" s="20">
        <v>7</v>
      </c>
      <c r="C9" s="17" t="s">
        <v>39</v>
      </c>
      <c r="D9" s="17" t="s">
        <v>27</v>
      </c>
      <c r="E9" s="17" t="s">
        <v>28</v>
      </c>
      <c r="F9" s="17" t="s">
        <v>40</v>
      </c>
      <c r="G9" s="24">
        <v>35</v>
      </c>
      <c r="H9" s="28">
        <v>10</v>
      </c>
      <c r="I9" s="29">
        <f>IFERROR( Table1345[[#This Row],[Quantity]]*Table1345[[#This Row],[Price Per Unit]], "")</f>
        <v>350</v>
      </c>
    </row>
    <row r="10" spans="1:15" x14ac:dyDescent="0.3">
      <c r="A10" s="37">
        <v>44439</v>
      </c>
      <c r="B10" s="20">
        <v>8</v>
      </c>
      <c r="C10" s="17" t="s">
        <v>41</v>
      </c>
      <c r="D10" s="17" t="s">
        <v>32</v>
      </c>
      <c r="E10" s="17" t="s">
        <v>33</v>
      </c>
      <c r="F10" s="17" t="s">
        <v>42</v>
      </c>
      <c r="G10" s="24">
        <v>40</v>
      </c>
      <c r="H10" s="28">
        <v>15</v>
      </c>
      <c r="I10" s="29">
        <f>IFERROR( Table1345[[#This Row],[Quantity]]*Table1345[[#This Row],[Price Per Unit]], "")</f>
        <v>600</v>
      </c>
    </row>
    <row r="11" spans="1:15" x14ac:dyDescent="0.3">
      <c r="A11" s="37">
        <v>44469</v>
      </c>
      <c r="B11" s="20">
        <v>9</v>
      </c>
      <c r="C11" s="17" t="s">
        <v>43</v>
      </c>
      <c r="D11" s="17" t="s">
        <v>23</v>
      </c>
      <c r="E11" s="17" t="s">
        <v>20</v>
      </c>
      <c r="F11" s="17" t="s">
        <v>44</v>
      </c>
      <c r="G11" s="24">
        <v>45</v>
      </c>
      <c r="H11" s="28">
        <v>12.22</v>
      </c>
      <c r="I11" s="29">
        <f>IFERROR( Table1345[[#This Row],[Quantity]]*Table1345[[#This Row],[Price Per Unit]], "")</f>
        <v>549.9</v>
      </c>
    </row>
    <row r="12" spans="1:15" x14ac:dyDescent="0.3">
      <c r="A12" s="37">
        <v>44500</v>
      </c>
      <c r="B12" s="20">
        <v>10</v>
      </c>
      <c r="C12" s="17" t="s">
        <v>45</v>
      </c>
      <c r="D12" s="17" t="s">
        <v>19</v>
      </c>
      <c r="E12" s="17" t="s">
        <v>97</v>
      </c>
      <c r="F12" s="17" t="s">
        <v>46</v>
      </c>
      <c r="G12" s="24">
        <v>50</v>
      </c>
      <c r="H12" s="28">
        <v>14</v>
      </c>
      <c r="I12" s="29">
        <f>IFERROR( Table1345[[#This Row],[Quantity]]*Table1345[[#This Row],[Price Per Unit]], "")</f>
        <v>700</v>
      </c>
    </row>
    <row r="13" spans="1:15" x14ac:dyDescent="0.3">
      <c r="A13" s="37">
        <v>44530</v>
      </c>
      <c r="B13" s="20">
        <v>11</v>
      </c>
      <c r="C13" s="17" t="s">
        <v>47</v>
      </c>
      <c r="D13" s="17" t="s">
        <v>27</v>
      </c>
      <c r="E13" s="17" t="s">
        <v>28</v>
      </c>
      <c r="F13" s="17" t="s">
        <v>48</v>
      </c>
      <c r="G13" s="24">
        <v>5</v>
      </c>
      <c r="H13" s="28">
        <v>160</v>
      </c>
      <c r="I13" s="29">
        <f>IFERROR( Table1345[[#This Row],[Quantity]]*Table1345[[#This Row],[Price Per Unit]], "")</f>
        <v>800</v>
      </c>
    </row>
    <row r="14" spans="1:15" x14ac:dyDescent="0.3">
      <c r="A14" s="37">
        <v>44561</v>
      </c>
      <c r="B14" s="20">
        <v>12</v>
      </c>
      <c r="C14" s="17" t="s">
        <v>49</v>
      </c>
      <c r="D14" s="17" t="s">
        <v>32</v>
      </c>
      <c r="E14" s="17" t="s">
        <v>33</v>
      </c>
      <c r="F14" s="17" t="s">
        <v>50</v>
      </c>
      <c r="G14" s="24">
        <v>20</v>
      </c>
      <c r="H14" s="28">
        <v>45</v>
      </c>
      <c r="I14" s="29">
        <f>IFERROR( Table1345[[#This Row],[Quantity]]*Table1345[[#This Row],[Price Per Unit]], "")</f>
        <v>900</v>
      </c>
    </row>
    <row r="15" spans="1:15" x14ac:dyDescent="0.3">
      <c r="A15" s="37">
        <v>44592</v>
      </c>
      <c r="B15" s="20">
        <v>13</v>
      </c>
      <c r="C15" s="17" t="s">
        <v>51</v>
      </c>
      <c r="D15" s="17" t="s">
        <v>23</v>
      </c>
      <c r="E15" s="17" t="s">
        <v>20</v>
      </c>
      <c r="F15" s="17" t="s">
        <v>52</v>
      </c>
      <c r="G15" s="24">
        <v>0</v>
      </c>
      <c r="H15" s="28" t="s">
        <v>30</v>
      </c>
      <c r="I15" s="29" t="str">
        <f>IFERROR( Table1345[[#This Row],[Quantity]]*Table1345[[#This Row],[Price Per Unit]], "")</f>
        <v/>
      </c>
    </row>
    <row r="16" spans="1:15" x14ac:dyDescent="0.3">
      <c r="A16" s="37">
        <v>44620</v>
      </c>
      <c r="B16" s="20">
        <v>14</v>
      </c>
      <c r="C16" s="17" t="s">
        <v>53</v>
      </c>
      <c r="D16" s="19" t="s">
        <v>95</v>
      </c>
      <c r="E16" s="17" t="s">
        <v>97</v>
      </c>
      <c r="F16" s="17" t="s">
        <v>54</v>
      </c>
      <c r="G16" s="24">
        <v>30</v>
      </c>
      <c r="H16" s="28">
        <v>36.67</v>
      </c>
      <c r="I16" s="29">
        <f>IFERROR( Table1345[[#This Row],[Quantity]]*Table1345[[#This Row],[Price Per Unit]], "")</f>
        <v>1100.1000000000001</v>
      </c>
    </row>
    <row r="17" spans="1:9" x14ac:dyDescent="0.3">
      <c r="A17" s="37">
        <v>44651</v>
      </c>
      <c r="B17" s="20">
        <v>15</v>
      </c>
      <c r="C17" s="17" t="s">
        <v>55</v>
      </c>
      <c r="D17" s="17" t="s">
        <v>27</v>
      </c>
      <c r="E17" s="17" t="s">
        <v>28</v>
      </c>
      <c r="F17" s="17" t="s">
        <v>56</v>
      </c>
      <c r="G17" s="24">
        <v>35</v>
      </c>
      <c r="H17" s="28">
        <v>34.29</v>
      </c>
      <c r="I17" s="29">
        <f>IFERROR( Table1345[[#This Row],[Quantity]]*Table1345[[#This Row],[Price Per Unit]], "")</f>
        <v>1200.1499999999999</v>
      </c>
    </row>
    <row r="18" spans="1:9" x14ac:dyDescent="0.3">
      <c r="A18" s="37">
        <v>44681</v>
      </c>
      <c r="B18" s="20">
        <v>16</v>
      </c>
      <c r="C18" s="17" t="s">
        <v>57</v>
      </c>
      <c r="D18" s="19" t="s">
        <v>95</v>
      </c>
      <c r="E18" s="17" t="s">
        <v>33</v>
      </c>
      <c r="F18" s="17" t="s">
        <v>58</v>
      </c>
      <c r="G18" s="24">
        <v>0</v>
      </c>
      <c r="H18" s="28" t="s">
        <v>30</v>
      </c>
      <c r="I18" s="29" t="str">
        <f>IFERROR( Table1345[[#This Row],[Quantity]]*Table1345[[#This Row],[Price Per Unit]], "")</f>
        <v/>
      </c>
    </row>
    <row r="19" spans="1:9" x14ac:dyDescent="0.3">
      <c r="A19" s="37">
        <v>44712</v>
      </c>
      <c r="B19" s="20">
        <v>17</v>
      </c>
      <c r="C19" s="17" t="s">
        <v>59</v>
      </c>
      <c r="D19" s="17" t="s">
        <v>23</v>
      </c>
      <c r="E19" s="17" t="s">
        <v>20</v>
      </c>
      <c r="F19" s="17" t="s">
        <v>60</v>
      </c>
      <c r="G19" s="24">
        <v>40</v>
      </c>
      <c r="H19" s="28">
        <v>35</v>
      </c>
      <c r="I19" s="29">
        <f>IFERROR( Table1345[[#This Row],[Quantity]]*Table1345[[#This Row],[Price Per Unit]], "")</f>
        <v>1400</v>
      </c>
    </row>
    <row r="20" spans="1:9" x14ac:dyDescent="0.3">
      <c r="A20" s="37">
        <v>44742</v>
      </c>
      <c r="B20" s="20">
        <v>18</v>
      </c>
      <c r="C20" s="17" t="s">
        <v>61</v>
      </c>
      <c r="D20" s="17" t="s">
        <v>19</v>
      </c>
      <c r="E20" s="17" t="s">
        <v>97</v>
      </c>
      <c r="F20" s="17" t="s">
        <v>62</v>
      </c>
      <c r="G20" s="24">
        <v>45</v>
      </c>
      <c r="H20" s="28">
        <v>33.33</v>
      </c>
      <c r="I20" s="29">
        <f>IFERROR( Table1345[[#This Row],[Quantity]]*Table1345[[#This Row],[Price Per Unit]], "")</f>
        <v>1499.85</v>
      </c>
    </row>
    <row r="21" spans="1:9" x14ac:dyDescent="0.3">
      <c r="A21" s="37">
        <v>44773</v>
      </c>
      <c r="B21" s="20">
        <v>19</v>
      </c>
      <c r="C21" s="17" t="s">
        <v>63</v>
      </c>
      <c r="D21" s="17" t="s">
        <v>27</v>
      </c>
      <c r="E21" s="17" t="s">
        <v>28</v>
      </c>
      <c r="F21" s="17" t="s">
        <v>64</v>
      </c>
      <c r="G21" s="24">
        <v>50</v>
      </c>
      <c r="H21" s="28">
        <v>32</v>
      </c>
      <c r="I21" s="29">
        <f>IFERROR( Table1345[[#This Row],[Quantity]]*Table1345[[#This Row],[Price Per Unit]], "")</f>
        <v>1600</v>
      </c>
    </row>
    <row r="22" spans="1:9" x14ac:dyDescent="0.3">
      <c r="A22" s="37">
        <v>44804</v>
      </c>
      <c r="B22" s="20">
        <v>20</v>
      </c>
      <c r="C22" s="17" t="s">
        <v>65</v>
      </c>
      <c r="D22" s="17" t="s">
        <v>32</v>
      </c>
      <c r="E22" s="17" t="s">
        <v>33</v>
      </c>
      <c r="F22" s="17" t="s">
        <v>66</v>
      </c>
      <c r="G22" s="24">
        <v>55</v>
      </c>
      <c r="H22" s="28">
        <v>30.91</v>
      </c>
      <c r="I22" s="29">
        <f>IFERROR( Table1345[[#This Row],[Quantity]]*Table1345[[#This Row],[Price Per Unit]], "")</f>
        <v>1700.05</v>
      </c>
    </row>
    <row r="23" spans="1:9" x14ac:dyDescent="0.3">
      <c r="A23" s="37">
        <v>44834</v>
      </c>
      <c r="B23" s="20">
        <v>21</v>
      </c>
      <c r="C23" s="17" t="s">
        <v>67</v>
      </c>
      <c r="D23" s="17" t="s">
        <v>23</v>
      </c>
      <c r="E23" s="17" t="s">
        <v>20</v>
      </c>
      <c r="F23" s="17" t="s">
        <v>68</v>
      </c>
      <c r="G23" s="24">
        <v>60</v>
      </c>
      <c r="H23" s="28">
        <v>30</v>
      </c>
      <c r="I23" s="29">
        <f>IFERROR( Table1345[[#This Row],[Quantity]]*Table1345[[#This Row],[Price Per Unit]], "")</f>
        <v>1800</v>
      </c>
    </row>
    <row r="24" spans="1:9" x14ac:dyDescent="0.3">
      <c r="A24" s="37">
        <v>44865</v>
      </c>
      <c r="B24" s="20">
        <v>22</v>
      </c>
      <c r="C24" s="17" t="s">
        <v>69</v>
      </c>
      <c r="D24" s="17" t="s">
        <v>19</v>
      </c>
      <c r="E24" s="17" t="s">
        <v>97</v>
      </c>
      <c r="F24" s="17" t="s">
        <v>70</v>
      </c>
      <c r="G24" s="24">
        <v>0</v>
      </c>
      <c r="H24" s="28" t="s">
        <v>30</v>
      </c>
      <c r="I24" s="29" t="str">
        <f>IFERROR( Table1345[[#This Row],[Quantity]]*Table1345[[#This Row],[Price Per Unit]], "")</f>
        <v/>
      </c>
    </row>
    <row r="25" spans="1:9" x14ac:dyDescent="0.3">
      <c r="A25" s="37">
        <v>44895</v>
      </c>
      <c r="B25" s="20">
        <v>23</v>
      </c>
      <c r="C25" s="17" t="s">
        <v>71</v>
      </c>
      <c r="D25" s="17" t="s">
        <v>27</v>
      </c>
      <c r="E25" s="17" t="s">
        <v>28</v>
      </c>
      <c r="F25" s="17" t="s">
        <v>72</v>
      </c>
      <c r="G25" s="24">
        <v>65</v>
      </c>
      <c r="H25" s="28">
        <v>30.77</v>
      </c>
      <c r="I25" s="29">
        <f>IFERROR( Table1345[[#This Row],[Quantity]]*Table1345[[#This Row],[Price Per Unit]], "")</f>
        <v>2000.05</v>
      </c>
    </row>
    <row r="26" spans="1:9" x14ac:dyDescent="0.3">
      <c r="A26" s="37">
        <v>44926</v>
      </c>
      <c r="B26" s="20">
        <v>24</v>
      </c>
      <c r="C26" s="17" t="s">
        <v>73</v>
      </c>
      <c r="D26" s="17" t="s">
        <v>32</v>
      </c>
      <c r="E26" s="17" t="s">
        <v>33</v>
      </c>
      <c r="F26" s="17" t="s">
        <v>74</v>
      </c>
      <c r="G26" s="24">
        <v>70</v>
      </c>
      <c r="H26" s="28">
        <v>30</v>
      </c>
      <c r="I26" s="29">
        <f>IFERROR( Table1345[[#This Row],[Quantity]]*Table1345[[#This Row],[Price Per Unit]], "")</f>
        <v>2100</v>
      </c>
    </row>
    <row r="27" spans="1:9" x14ac:dyDescent="0.3">
      <c r="A27" s="37">
        <v>44957</v>
      </c>
      <c r="B27" s="20">
        <v>25</v>
      </c>
      <c r="C27" s="17" t="s">
        <v>75</v>
      </c>
      <c r="D27" s="17" t="s">
        <v>76</v>
      </c>
      <c r="E27" s="17" t="s">
        <v>77</v>
      </c>
      <c r="F27" s="17" t="s">
        <v>78</v>
      </c>
      <c r="G27" s="24">
        <v>75</v>
      </c>
      <c r="H27" s="28">
        <v>29.33</v>
      </c>
      <c r="I27" s="29">
        <f>IFERROR( Table1345[[#This Row],[Quantity]]*Table1345[[#This Row],[Price Per Unit]], "")</f>
        <v>2199.75</v>
      </c>
    </row>
    <row r="28" spans="1:9" x14ac:dyDescent="0.3">
      <c r="A28" s="37">
        <v>44985</v>
      </c>
      <c r="B28" s="20">
        <v>26</v>
      </c>
      <c r="C28" s="17" t="s">
        <v>79</v>
      </c>
      <c r="D28" s="17" t="s">
        <v>76</v>
      </c>
      <c r="E28" s="17" t="s">
        <v>80</v>
      </c>
      <c r="F28" s="17" t="s">
        <v>81</v>
      </c>
      <c r="G28" s="24">
        <v>80</v>
      </c>
      <c r="H28" s="28">
        <v>28.75</v>
      </c>
      <c r="I28" s="29">
        <f>IFERROR( Table1345[[#This Row],[Quantity]]*Table1345[[#This Row],[Price Per Unit]], "")</f>
        <v>2300</v>
      </c>
    </row>
    <row r="29" spans="1:9" x14ac:dyDescent="0.3">
      <c r="A29" s="37">
        <v>45016</v>
      </c>
      <c r="B29" s="20">
        <v>27</v>
      </c>
      <c r="C29" s="17" t="s">
        <v>51</v>
      </c>
      <c r="D29" s="17" t="s">
        <v>23</v>
      </c>
      <c r="E29" s="17" t="s">
        <v>82</v>
      </c>
      <c r="F29" s="17" t="s">
        <v>83</v>
      </c>
      <c r="G29" s="24">
        <v>0</v>
      </c>
      <c r="H29" s="28" t="s">
        <v>30</v>
      </c>
      <c r="I29" s="29" t="str">
        <f>IFERROR( Table1345[[#This Row],[Quantity]]*Table1345[[#This Row],[Price Per Unit]], "")</f>
        <v/>
      </c>
    </row>
    <row r="30" spans="1:9" x14ac:dyDescent="0.3">
      <c r="A30" s="37">
        <v>45046</v>
      </c>
      <c r="B30" s="20">
        <v>28</v>
      </c>
      <c r="C30" s="17" t="s">
        <v>49</v>
      </c>
      <c r="D30" s="17" t="s">
        <v>32</v>
      </c>
      <c r="E30" s="17" t="s">
        <v>84</v>
      </c>
      <c r="F30" s="17" t="s">
        <v>85</v>
      </c>
      <c r="G30" s="24">
        <v>85</v>
      </c>
      <c r="H30" s="28">
        <v>29.41</v>
      </c>
      <c r="I30" s="29">
        <f>IFERROR( Table1345[[#This Row],[Quantity]]*Table1345[[#This Row],[Price Per Unit]], "")</f>
        <v>2499.85</v>
      </c>
    </row>
    <row r="31" spans="1:9" x14ac:dyDescent="0.3">
      <c r="A31" s="33" t="s">
        <v>100</v>
      </c>
      <c r="B31" s="20"/>
      <c r="C31" s="17"/>
      <c r="D31" s="17"/>
      <c r="E31" s="17"/>
      <c r="F31" s="17"/>
      <c r="G31" s="24"/>
      <c r="H31" s="28">
        <f>SUBTOTAL(104,Table1345[Price Per Unit])</f>
        <v>160</v>
      </c>
      <c r="I31" s="28">
        <f>SUBTOTAL(109,Table1345[Sales])</f>
        <v>26399.8</v>
      </c>
    </row>
  </sheetData>
  <conditionalFormatting sqref="B2:B30">
    <cfRule type="duplicateValues" dxfId="12" priority="1"/>
  </conditionalFormatting>
  <dataValidations count="1">
    <dataValidation type="list" allowBlank="1" showInputMessage="1" showErrorMessage="1" sqref="D3:D30" xr:uid="{128F3889-C648-467D-A45B-203AA7E5AE4D}">
      <formula1>"North, South, East, West, Asgard"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5C60-4F48-4CD5-A7F5-7F02D5508B97}">
  <dimension ref="A1:O31"/>
  <sheetViews>
    <sheetView workbookViewId="0">
      <selection activeCell="G6" sqref="G6"/>
    </sheetView>
  </sheetViews>
  <sheetFormatPr defaultRowHeight="14.4" x14ac:dyDescent="0.3"/>
  <cols>
    <col min="1" max="1" width="11.44140625" style="34" customWidth="1"/>
    <col min="2" max="2" width="7.44140625" bestFit="1" customWidth="1"/>
    <col min="3" max="3" width="17.5546875" bestFit="1" customWidth="1"/>
    <col min="4" max="4" width="11.6640625" bestFit="1" customWidth="1"/>
    <col min="5" max="5" width="11.109375" bestFit="1" customWidth="1"/>
    <col min="6" max="6" width="23.44140625" bestFit="1" customWidth="1"/>
    <col min="7" max="7" width="13.33203125" style="14" bestFit="1" customWidth="1"/>
    <col min="8" max="8" width="17.88671875" style="30" bestFit="1" customWidth="1"/>
    <col min="9" max="9" width="10.88671875" style="30" bestFit="1" customWidth="1"/>
    <col min="10" max="11" width="50.88671875" customWidth="1"/>
  </cols>
  <sheetData>
    <row r="1" spans="1:15" s="7" customFormat="1" ht="48.75" customHeight="1" x14ac:dyDescent="0.4">
      <c r="A1" s="32" t="s">
        <v>104</v>
      </c>
      <c r="B1" s="6"/>
      <c r="C1" s="6"/>
      <c r="D1" s="6"/>
      <c r="E1" s="6"/>
      <c r="F1" s="6"/>
      <c r="G1" s="22"/>
      <c r="H1" s="25"/>
      <c r="I1" s="25"/>
      <c r="J1" s="6"/>
      <c r="K1" s="6"/>
      <c r="L1" s="6"/>
      <c r="M1" s="6"/>
      <c r="N1" s="6"/>
      <c r="O1" s="6"/>
    </row>
    <row r="2" spans="1:15" s="14" customFormat="1" x14ac:dyDescent="0.3">
      <c r="A2" s="31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23" t="s">
        <v>16</v>
      </c>
      <c r="H2" s="26" t="s">
        <v>17</v>
      </c>
      <c r="I2" s="27" t="s">
        <v>102</v>
      </c>
    </row>
    <row r="3" spans="1:15" x14ac:dyDescent="0.3">
      <c r="A3" s="33">
        <v>44227</v>
      </c>
      <c r="B3" s="20">
        <v>1</v>
      </c>
      <c r="C3" s="17" t="s">
        <v>91</v>
      </c>
      <c r="D3" s="17" t="s">
        <v>19</v>
      </c>
      <c r="E3" s="17" t="s">
        <v>20</v>
      </c>
      <c r="F3" s="17" t="s">
        <v>21</v>
      </c>
      <c r="G3" s="24">
        <v>10</v>
      </c>
      <c r="H3" s="28">
        <v>20</v>
      </c>
      <c r="I3" s="29">
        <f>IFERROR( Table13456[[#This Row],[Quantity]]*Table13456[[#This Row],[Price Per Unit]], "")</f>
        <v>200</v>
      </c>
    </row>
    <row r="4" spans="1:15" x14ac:dyDescent="0.3">
      <c r="A4" s="33">
        <v>44255</v>
      </c>
      <c r="B4" s="20">
        <v>2</v>
      </c>
      <c r="C4" s="17" t="s">
        <v>22</v>
      </c>
      <c r="D4" s="17" t="s">
        <v>23</v>
      </c>
      <c r="E4" s="17" t="s">
        <v>97</v>
      </c>
      <c r="F4" s="17" t="s">
        <v>25</v>
      </c>
      <c r="G4" s="24">
        <v>15</v>
      </c>
      <c r="H4" s="28">
        <v>10</v>
      </c>
      <c r="I4" s="29">
        <f>IFERROR( Table13456[[#This Row],[Quantity]]*Table13456[[#This Row],[Price Per Unit]], "")</f>
        <v>150</v>
      </c>
    </row>
    <row r="5" spans="1:15" x14ac:dyDescent="0.3">
      <c r="A5" s="33">
        <v>44286</v>
      </c>
      <c r="B5" s="20">
        <v>3</v>
      </c>
      <c r="C5" s="17" t="s">
        <v>92</v>
      </c>
      <c r="D5" s="17" t="s">
        <v>27</v>
      </c>
      <c r="E5" s="17" t="s">
        <v>28</v>
      </c>
      <c r="F5" s="17" t="s">
        <v>29</v>
      </c>
      <c r="G5" s="24">
        <v>0</v>
      </c>
      <c r="H5" s="28"/>
      <c r="I5" s="29">
        <f>IFERROR( Table13456[[#This Row],[Quantity]]*Table13456[[#This Row],[Price Per Unit]], "")</f>
        <v>0</v>
      </c>
    </row>
    <row r="6" spans="1:15" x14ac:dyDescent="0.3">
      <c r="A6" s="33">
        <v>44316</v>
      </c>
      <c r="B6" s="20">
        <v>4</v>
      </c>
      <c r="C6" s="17" t="s">
        <v>93</v>
      </c>
      <c r="D6" s="17" t="s">
        <v>32</v>
      </c>
      <c r="E6" s="17" t="s">
        <v>33</v>
      </c>
      <c r="F6" s="17" t="s">
        <v>34</v>
      </c>
      <c r="G6" s="24">
        <v>25</v>
      </c>
      <c r="H6" s="28">
        <v>10</v>
      </c>
      <c r="I6" s="29">
        <f>IFERROR( Table13456[[#This Row],[Quantity]]*Table13456[[#This Row],[Price Per Unit]], "")</f>
        <v>250</v>
      </c>
    </row>
    <row r="7" spans="1:15" x14ac:dyDescent="0.3">
      <c r="A7" s="33">
        <v>44347</v>
      </c>
      <c r="B7" s="20">
        <v>5</v>
      </c>
      <c r="C7" s="17" t="s">
        <v>35</v>
      </c>
      <c r="D7" s="17" t="s">
        <v>23</v>
      </c>
      <c r="E7" s="17" t="s">
        <v>20</v>
      </c>
      <c r="F7" s="17" t="s">
        <v>36</v>
      </c>
      <c r="G7" s="24">
        <v>30</v>
      </c>
      <c r="H7" s="28">
        <v>16.670000000000002</v>
      </c>
      <c r="I7" s="29">
        <f>IFERROR( Table13456[[#This Row],[Quantity]]*Table13456[[#This Row],[Price Per Unit]], "")</f>
        <v>500.1</v>
      </c>
    </row>
    <row r="8" spans="1:15" x14ac:dyDescent="0.3">
      <c r="A8" s="33">
        <v>44377</v>
      </c>
      <c r="B8" s="20">
        <v>6</v>
      </c>
      <c r="C8" s="17" t="s">
        <v>94</v>
      </c>
      <c r="D8" s="19" t="s">
        <v>95</v>
      </c>
      <c r="E8" s="17" t="s">
        <v>97</v>
      </c>
      <c r="F8" s="17" t="s">
        <v>38</v>
      </c>
      <c r="G8" s="24">
        <v>0</v>
      </c>
      <c r="H8" s="28"/>
      <c r="I8" s="29">
        <f>IFERROR( Table13456[[#This Row],[Quantity]]*Table13456[[#This Row],[Price Per Unit]], "")</f>
        <v>0</v>
      </c>
    </row>
    <row r="9" spans="1:15" x14ac:dyDescent="0.3">
      <c r="A9" s="33">
        <v>44408</v>
      </c>
      <c r="B9" s="20">
        <v>7</v>
      </c>
      <c r="C9" s="17" t="s">
        <v>39</v>
      </c>
      <c r="D9" s="17" t="s">
        <v>27</v>
      </c>
      <c r="E9" s="17" t="s">
        <v>28</v>
      </c>
      <c r="F9" s="17" t="s">
        <v>40</v>
      </c>
      <c r="G9" s="24">
        <v>35</v>
      </c>
      <c r="H9" s="28">
        <v>10</v>
      </c>
      <c r="I9" s="29">
        <f>IFERROR( Table13456[[#This Row],[Quantity]]*Table13456[[#This Row],[Price Per Unit]], "")</f>
        <v>350</v>
      </c>
    </row>
    <row r="10" spans="1:15" x14ac:dyDescent="0.3">
      <c r="A10" s="33">
        <v>44439</v>
      </c>
      <c r="B10" s="20">
        <v>8</v>
      </c>
      <c r="C10" s="17" t="s">
        <v>41</v>
      </c>
      <c r="D10" s="17" t="s">
        <v>32</v>
      </c>
      <c r="E10" s="17" t="s">
        <v>33</v>
      </c>
      <c r="F10" s="17" t="s">
        <v>42</v>
      </c>
      <c r="G10" s="24">
        <v>40</v>
      </c>
      <c r="H10" s="28">
        <v>15</v>
      </c>
      <c r="I10" s="29">
        <f>IFERROR( Table13456[[#This Row],[Quantity]]*Table13456[[#This Row],[Price Per Unit]], "")</f>
        <v>600</v>
      </c>
    </row>
    <row r="11" spans="1:15" x14ac:dyDescent="0.3">
      <c r="A11" s="33">
        <v>44469</v>
      </c>
      <c r="B11" s="20">
        <v>9</v>
      </c>
      <c r="C11" s="17" t="s">
        <v>43</v>
      </c>
      <c r="D11" s="17" t="s">
        <v>23</v>
      </c>
      <c r="E11" s="17" t="s">
        <v>20</v>
      </c>
      <c r="F11" s="17" t="s">
        <v>44</v>
      </c>
      <c r="G11" s="24">
        <v>45</v>
      </c>
      <c r="H11" s="28">
        <v>12.22</v>
      </c>
      <c r="I11" s="29">
        <f>IFERROR( Table13456[[#This Row],[Quantity]]*Table13456[[#This Row],[Price Per Unit]], "")</f>
        <v>549.9</v>
      </c>
    </row>
    <row r="12" spans="1:15" x14ac:dyDescent="0.3">
      <c r="A12" s="33">
        <v>44500</v>
      </c>
      <c r="B12" s="20">
        <v>10</v>
      </c>
      <c r="C12" s="17" t="s">
        <v>45</v>
      </c>
      <c r="D12" s="17" t="s">
        <v>19</v>
      </c>
      <c r="E12" s="17" t="s">
        <v>97</v>
      </c>
      <c r="F12" s="17" t="s">
        <v>46</v>
      </c>
      <c r="G12" s="24">
        <v>50</v>
      </c>
      <c r="H12" s="28">
        <v>14</v>
      </c>
      <c r="I12" s="29">
        <f>IFERROR( Table13456[[#This Row],[Quantity]]*Table13456[[#This Row],[Price Per Unit]], "")</f>
        <v>700</v>
      </c>
    </row>
    <row r="13" spans="1:15" x14ac:dyDescent="0.3">
      <c r="A13" s="33">
        <v>44530</v>
      </c>
      <c r="B13" s="20">
        <v>11</v>
      </c>
      <c r="C13" s="17" t="s">
        <v>47</v>
      </c>
      <c r="D13" s="17" t="s">
        <v>27</v>
      </c>
      <c r="E13" s="17" t="s">
        <v>28</v>
      </c>
      <c r="F13" s="17" t="s">
        <v>48</v>
      </c>
      <c r="G13" s="24">
        <v>5</v>
      </c>
      <c r="H13" s="28">
        <v>160</v>
      </c>
      <c r="I13" s="29">
        <f>IFERROR( Table13456[[#This Row],[Quantity]]*Table13456[[#This Row],[Price Per Unit]], "")</f>
        <v>800</v>
      </c>
    </row>
    <row r="14" spans="1:15" x14ac:dyDescent="0.3">
      <c r="A14" s="33">
        <v>44561</v>
      </c>
      <c r="B14" s="20">
        <v>12</v>
      </c>
      <c r="C14" s="17" t="s">
        <v>49</v>
      </c>
      <c r="D14" s="17" t="s">
        <v>32</v>
      </c>
      <c r="E14" s="17" t="s">
        <v>33</v>
      </c>
      <c r="F14" s="17" t="s">
        <v>50</v>
      </c>
      <c r="G14" s="24">
        <v>20</v>
      </c>
      <c r="H14" s="28">
        <v>45</v>
      </c>
      <c r="I14" s="29">
        <f>IFERROR( Table13456[[#This Row],[Quantity]]*Table13456[[#This Row],[Price Per Unit]], "")</f>
        <v>900</v>
      </c>
    </row>
    <row r="15" spans="1:15" x14ac:dyDescent="0.3">
      <c r="A15" s="33">
        <v>44592</v>
      </c>
      <c r="B15" s="20">
        <v>13</v>
      </c>
      <c r="C15" s="17" t="s">
        <v>51</v>
      </c>
      <c r="D15" s="17" t="s">
        <v>23</v>
      </c>
      <c r="E15" s="17" t="s">
        <v>20</v>
      </c>
      <c r="F15" s="17" t="s">
        <v>52</v>
      </c>
      <c r="G15" s="24">
        <v>0</v>
      </c>
      <c r="H15" s="28"/>
      <c r="I15" s="29">
        <f>IFERROR( Table13456[[#This Row],[Quantity]]*Table13456[[#This Row],[Price Per Unit]], "")</f>
        <v>0</v>
      </c>
    </row>
    <row r="16" spans="1:15" x14ac:dyDescent="0.3">
      <c r="A16" s="33">
        <v>44620</v>
      </c>
      <c r="B16" s="20">
        <v>14</v>
      </c>
      <c r="C16" s="17" t="s">
        <v>53</v>
      </c>
      <c r="D16" s="19" t="s">
        <v>95</v>
      </c>
      <c r="E16" s="17" t="s">
        <v>97</v>
      </c>
      <c r="F16" s="17" t="s">
        <v>54</v>
      </c>
      <c r="G16" s="24">
        <v>30</v>
      </c>
      <c r="H16" s="28">
        <v>36.67</v>
      </c>
      <c r="I16" s="29">
        <f>IFERROR( Table13456[[#This Row],[Quantity]]*Table13456[[#This Row],[Price Per Unit]], "")</f>
        <v>1100.1000000000001</v>
      </c>
    </row>
    <row r="17" spans="1:9" x14ac:dyDescent="0.3">
      <c r="A17" s="33">
        <v>44651</v>
      </c>
      <c r="B17" s="20">
        <v>15</v>
      </c>
      <c r="C17" s="17" t="s">
        <v>55</v>
      </c>
      <c r="D17" s="17" t="s">
        <v>27</v>
      </c>
      <c r="E17" s="17" t="s">
        <v>28</v>
      </c>
      <c r="F17" s="17" t="s">
        <v>56</v>
      </c>
      <c r="G17" s="24">
        <v>35</v>
      </c>
      <c r="H17" s="28">
        <v>34.29</v>
      </c>
      <c r="I17" s="29">
        <f>IFERROR( Table13456[[#This Row],[Quantity]]*Table13456[[#This Row],[Price Per Unit]], "")</f>
        <v>1200.1499999999999</v>
      </c>
    </row>
    <row r="18" spans="1:9" x14ac:dyDescent="0.3">
      <c r="A18" s="33">
        <v>44681</v>
      </c>
      <c r="B18" s="20">
        <v>16</v>
      </c>
      <c r="C18" s="17" t="s">
        <v>57</v>
      </c>
      <c r="D18" s="19" t="s">
        <v>95</v>
      </c>
      <c r="E18" s="17" t="s">
        <v>33</v>
      </c>
      <c r="F18" s="17" t="s">
        <v>58</v>
      </c>
      <c r="G18" s="24">
        <v>0</v>
      </c>
      <c r="H18" s="28"/>
      <c r="I18" s="29">
        <f>IFERROR( Table13456[[#This Row],[Quantity]]*Table13456[[#This Row],[Price Per Unit]], "")</f>
        <v>0</v>
      </c>
    </row>
    <row r="19" spans="1:9" x14ac:dyDescent="0.3">
      <c r="A19" s="33">
        <v>44712</v>
      </c>
      <c r="B19" s="20">
        <v>17</v>
      </c>
      <c r="C19" s="17" t="s">
        <v>59</v>
      </c>
      <c r="D19" s="17" t="s">
        <v>23</v>
      </c>
      <c r="E19" s="17" t="s">
        <v>20</v>
      </c>
      <c r="F19" s="17" t="s">
        <v>60</v>
      </c>
      <c r="G19" s="24">
        <v>40</v>
      </c>
      <c r="H19" s="28">
        <v>35</v>
      </c>
      <c r="I19" s="29">
        <f>IFERROR( Table13456[[#This Row],[Quantity]]*Table13456[[#This Row],[Price Per Unit]], "")</f>
        <v>1400</v>
      </c>
    </row>
    <row r="20" spans="1:9" x14ac:dyDescent="0.3">
      <c r="A20" s="33">
        <v>44742</v>
      </c>
      <c r="B20" s="20">
        <v>18</v>
      </c>
      <c r="C20" s="17" t="s">
        <v>61</v>
      </c>
      <c r="D20" s="17" t="s">
        <v>19</v>
      </c>
      <c r="E20" s="17" t="s">
        <v>97</v>
      </c>
      <c r="F20" s="17" t="s">
        <v>62</v>
      </c>
      <c r="G20" s="24">
        <v>45</v>
      </c>
      <c r="H20" s="28">
        <v>33.33</v>
      </c>
      <c r="I20" s="29">
        <f>IFERROR( Table13456[[#This Row],[Quantity]]*Table13456[[#This Row],[Price Per Unit]], "")</f>
        <v>1499.85</v>
      </c>
    </row>
    <row r="21" spans="1:9" x14ac:dyDescent="0.3">
      <c r="A21" s="33">
        <v>44773</v>
      </c>
      <c r="B21" s="20">
        <v>19</v>
      </c>
      <c r="C21" s="17" t="s">
        <v>63</v>
      </c>
      <c r="D21" s="17" t="s">
        <v>27</v>
      </c>
      <c r="E21" s="17" t="s">
        <v>28</v>
      </c>
      <c r="F21" s="17" t="s">
        <v>64</v>
      </c>
      <c r="G21" s="24">
        <v>50</v>
      </c>
      <c r="H21" s="28">
        <v>32</v>
      </c>
      <c r="I21" s="29">
        <f>IFERROR( Table13456[[#This Row],[Quantity]]*Table13456[[#This Row],[Price Per Unit]], "")</f>
        <v>1600</v>
      </c>
    </row>
    <row r="22" spans="1:9" x14ac:dyDescent="0.3">
      <c r="A22" s="33">
        <v>44804</v>
      </c>
      <c r="B22" s="20">
        <v>20</v>
      </c>
      <c r="C22" s="17" t="s">
        <v>65</v>
      </c>
      <c r="D22" s="17" t="s">
        <v>32</v>
      </c>
      <c r="E22" s="17" t="s">
        <v>33</v>
      </c>
      <c r="F22" s="17" t="s">
        <v>66</v>
      </c>
      <c r="G22" s="24">
        <v>55</v>
      </c>
      <c r="H22" s="28">
        <v>30.91</v>
      </c>
      <c r="I22" s="29">
        <f>IFERROR( Table13456[[#This Row],[Quantity]]*Table13456[[#This Row],[Price Per Unit]], "")</f>
        <v>1700.05</v>
      </c>
    </row>
    <row r="23" spans="1:9" x14ac:dyDescent="0.3">
      <c r="A23" s="33">
        <v>44834</v>
      </c>
      <c r="B23" s="20">
        <v>21</v>
      </c>
      <c r="C23" s="17" t="s">
        <v>67</v>
      </c>
      <c r="D23" s="17" t="s">
        <v>23</v>
      </c>
      <c r="E23" s="17" t="s">
        <v>20</v>
      </c>
      <c r="F23" s="17" t="s">
        <v>68</v>
      </c>
      <c r="G23" s="24">
        <v>60</v>
      </c>
      <c r="H23" s="28">
        <v>30</v>
      </c>
      <c r="I23" s="29">
        <f>IFERROR( Table13456[[#This Row],[Quantity]]*Table13456[[#This Row],[Price Per Unit]], "")</f>
        <v>1800</v>
      </c>
    </row>
    <row r="24" spans="1:9" x14ac:dyDescent="0.3">
      <c r="A24" s="33">
        <v>44865</v>
      </c>
      <c r="B24" s="20">
        <v>22</v>
      </c>
      <c r="C24" s="17" t="s">
        <v>69</v>
      </c>
      <c r="D24" s="17" t="s">
        <v>19</v>
      </c>
      <c r="E24" s="17" t="s">
        <v>97</v>
      </c>
      <c r="F24" s="17" t="s">
        <v>70</v>
      </c>
      <c r="G24" s="24">
        <v>0</v>
      </c>
      <c r="H24" s="28"/>
      <c r="I24" s="29">
        <f>IFERROR( Table13456[[#This Row],[Quantity]]*Table13456[[#This Row],[Price Per Unit]], "")</f>
        <v>0</v>
      </c>
    </row>
    <row r="25" spans="1:9" x14ac:dyDescent="0.3">
      <c r="A25" s="33">
        <v>44895</v>
      </c>
      <c r="B25" s="20">
        <v>23</v>
      </c>
      <c r="C25" s="17" t="s">
        <v>71</v>
      </c>
      <c r="D25" s="17" t="s">
        <v>27</v>
      </c>
      <c r="E25" s="17" t="s">
        <v>28</v>
      </c>
      <c r="F25" s="17" t="s">
        <v>72</v>
      </c>
      <c r="G25" s="24">
        <v>65</v>
      </c>
      <c r="H25" s="28">
        <v>30.77</v>
      </c>
      <c r="I25" s="29">
        <f>IFERROR( Table13456[[#This Row],[Quantity]]*Table13456[[#This Row],[Price Per Unit]], "")</f>
        <v>2000.05</v>
      </c>
    </row>
    <row r="26" spans="1:9" x14ac:dyDescent="0.3">
      <c r="A26" s="33">
        <v>44926</v>
      </c>
      <c r="B26" s="20">
        <v>24</v>
      </c>
      <c r="C26" s="17" t="s">
        <v>73</v>
      </c>
      <c r="D26" s="17" t="s">
        <v>32</v>
      </c>
      <c r="E26" s="17" t="s">
        <v>33</v>
      </c>
      <c r="F26" s="17" t="s">
        <v>74</v>
      </c>
      <c r="G26" s="24">
        <v>70</v>
      </c>
      <c r="H26" s="28">
        <v>30</v>
      </c>
      <c r="I26" s="29">
        <f>IFERROR( Table13456[[#This Row],[Quantity]]*Table13456[[#This Row],[Price Per Unit]], "")</f>
        <v>2100</v>
      </c>
    </row>
    <row r="27" spans="1:9" x14ac:dyDescent="0.3">
      <c r="A27" s="33">
        <v>44957</v>
      </c>
      <c r="B27" s="20">
        <v>25</v>
      </c>
      <c r="C27" s="17" t="s">
        <v>75</v>
      </c>
      <c r="D27" s="17" t="s">
        <v>76</v>
      </c>
      <c r="E27" s="17" t="s">
        <v>77</v>
      </c>
      <c r="F27" s="17" t="s">
        <v>78</v>
      </c>
      <c r="G27" s="24">
        <v>75</v>
      </c>
      <c r="H27" s="28">
        <v>29.33</v>
      </c>
      <c r="I27" s="29">
        <f>IFERROR( Table13456[[#This Row],[Quantity]]*Table13456[[#This Row],[Price Per Unit]], "")</f>
        <v>2199.75</v>
      </c>
    </row>
    <row r="28" spans="1:9" x14ac:dyDescent="0.3">
      <c r="A28" s="33">
        <v>44985</v>
      </c>
      <c r="B28" s="20">
        <v>26</v>
      </c>
      <c r="C28" s="17" t="s">
        <v>79</v>
      </c>
      <c r="D28" s="17" t="s">
        <v>76</v>
      </c>
      <c r="E28" s="17" t="s">
        <v>80</v>
      </c>
      <c r="F28" s="17" t="s">
        <v>81</v>
      </c>
      <c r="G28" s="24">
        <v>80</v>
      </c>
      <c r="H28" s="28">
        <v>28.75</v>
      </c>
      <c r="I28" s="29">
        <f>IFERROR( Table13456[[#This Row],[Quantity]]*Table13456[[#This Row],[Price Per Unit]], "")</f>
        <v>2300</v>
      </c>
    </row>
    <row r="29" spans="1:9" x14ac:dyDescent="0.3">
      <c r="A29" s="33">
        <v>45016</v>
      </c>
      <c r="B29" s="20">
        <v>27</v>
      </c>
      <c r="C29" s="17" t="s">
        <v>51</v>
      </c>
      <c r="D29" s="17" t="s">
        <v>23</v>
      </c>
      <c r="E29" s="17" t="s">
        <v>82</v>
      </c>
      <c r="F29" s="17" t="s">
        <v>83</v>
      </c>
      <c r="G29" s="24">
        <v>0</v>
      </c>
      <c r="H29" s="28"/>
      <c r="I29" s="29">
        <f>IFERROR( Table13456[[#This Row],[Quantity]]*Table13456[[#This Row],[Price Per Unit]], "")</f>
        <v>0</v>
      </c>
    </row>
    <row r="30" spans="1:9" x14ac:dyDescent="0.3">
      <c r="A30" s="33">
        <v>45046</v>
      </c>
      <c r="B30" s="20">
        <v>28</v>
      </c>
      <c r="C30" s="17" t="s">
        <v>49</v>
      </c>
      <c r="D30" s="17" t="s">
        <v>32</v>
      </c>
      <c r="E30" s="17" t="s">
        <v>84</v>
      </c>
      <c r="F30" s="17" t="s">
        <v>85</v>
      </c>
      <c r="G30" s="24">
        <v>85</v>
      </c>
      <c r="H30" s="28">
        <v>29.41</v>
      </c>
      <c r="I30" s="29">
        <f>IFERROR( Table13456[[#This Row],[Quantity]]*Table13456[[#This Row],[Price Per Unit]], "")</f>
        <v>2499.85</v>
      </c>
    </row>
    <row r="31" spans="1:9" x14ac:dyDescent="0.3">
      <c r="A31" s="33" t="s">
        <v>100</v>
      </c>
      <c r="B31" s="20"/>
      <c r="C31" s="17"/>
      <c r="D31" s="17"/>
      <c r="E31" s="17"/>
      <c r="F31" s="17"/>
      <c r="G31" s="24"/>
      <c r="H31" s="28">
        <f>SUBTOTAL(104,Table13456[Price Per Unit])</f>
        <v>160</v>
      </c>
      <c r="I31" s="28">
        <f>SUBTOTAL(109,Table13456[Sales])</f>
        <v>26399.8</v>
      </c>
    </row>
  </sheetData>
  <conditionalFormatting sqref="B2:B30">
    <cfRule type="duplicateValues" dxfId="11" priority="1"/>
  </conditionalFormatting>
  <dataValidations count="1">
    <dataValidation type="list" allowBlank="1" showInputMessage="1" showErrorMessage="1" sqref="D3:D30" xr:uid="{FD5B241C-5AFD-4C57-A2B4-AEB31B99AAC3}">
      <formula1>"North, South, East, West, Asgard"</formula1>
    </dataValidation>
  </dataValidations>
  <pageMargins left="0.7" right="0.7" top="0.75" bottom="0.75" header="0.3" footer="0.3"/>
  <ignoredErrors>
    <ignoredError sqref="D8" listDataValidation="1"/>
  </ignoredErrors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8D3DE-88AA-41BC-8883-595425285605}">
  <dimension ref="A1:H35"/>
  <sheetViews>
    <sheetView showGridLines="0" showRowColHeaders="0" workbookViewId="0"/>
  </sheetViews>
  <sheetFormatPr defaultColWidth="0" defaultRowHeight="14.4" zeroHeight="1" x14ac:dyDescent="0.3"/>
  <cols>
    <col min="1" max="1" width="4" customWidth="1"/>
    <col min="2" max="2" width="46.33203125" customWidth="1"/>
    <col min="3" max="3" width="61" customWidth="1"/>
    <col min="4" max="4" width="1.44140625" customWidth="1"/>
    <col min="5" max="7" width="9.109375" customWidth="1"/>
    <col min="8" max="16384" width="9.109375" hidden="1"/>
  </cols>
  <sheetData>
    <row r="1" spans="1:8" ht="51" customHeight="1" x14ac:dyDescent="0.3">
      <c r="A1" s="6" t="s">
        <v>105</v>
      </c>
      <c r="B1" s="6"/>
      <c r="C1" s="6"/>
      <c r="D1" s="6"/>
      <c r="E1" s="6"/>
      <c r="F1" s="6"/>
      <c r="G1" s="6"/>
      <c r="H1" s="6"/>
    </row>
    <row r="2" spans="1:8" x14ac:dyDescent="0.3"/>
    <row r="3" spans="1:8" x14ac:dyDescent="0.3">
      <c r="B3" s="1" t="s">
        <v>106</v>
      </c>
    </row>
    <row r="4" spans="1:8" x14ac:dyDescent="0.3">
      <c r="B4" s="2" t="s">
        <v>107</v>
      </c>
      <c r="C4" s="3" t="s">
        <v>108</v>
      </c>
    </row>
    <row r="5" spans="1:8" x14ac:dyDescent="0.3">
      <c r="B5" s="2" t="s">
        <v>109</v>
      </c>
      <c r="C5" s="3" t="s">
        <v>110</v>
      </c>
    </row>
    <row r="6" spans="1:8" x14ac:dyDescent="0.3">
      <c r="B6" s="2" t="s">
        <v>111</v>
      </c>
      <c r="C6" s="3" t="s">
        <v>112</v>
      </c>
    </row>
    <row r="7" spans="1:8" x14ac:dyDescent="0.3"/>
    <row r="8" spans="1:8" x14ac:dyDescent="0.3">
      <c r="B8" s="1" t="s">
        <v>113</v>
      </c>
    </row>
    <row r="9" spans="1:8" x14ac:dyDescent="0.3">
      <c r="B9" s="2" t="s">
        <v>114</v>
      </c>
      <c r="C9" s="3" t="s">
        <v>115</v>
      </c>
    </row>
    <row r="10" spans="1:8" x14ac:dyDescent="0.3"/>
    <row r="11" spans="1:8" x14ac:dyDescent="0.3">
      <c r="B11" s="1" t="s">
        <v>116</v>
      </c>
    </row>
    <row r="12" spans="1:8" x14ac:dyDescent="0.3">
      <c r="B12" s="2" t="s">
        <v>117</v>
      </c>
      <c r="C12" s="3" t="s">
        <v>118</v>
      </c>
    </row>
    <row r="13" spans="1:8" x14ac:dyDescent="0.3">
      <c r="B13" s="2" t="s">
        <v>119</v>
      </c>
      <c r="C13" s="3" t="s">
        <v>120</v>
      </c>
    </row>
    <row r="14" spans="1:8" x14ac:dyDescent="0.3">
      <c r="B14" s="2" t="s">
        <v>121</v>
      </c>
      <c r="C14" s="3" t="s">
        <v>122</v>
      </c>
    </row>
    <row r="15" spans="1:8" x14ac:dyDescent="0.3">
      <c r="B15" s="2" t="s">
        <v>123</v>
      </c>
      <c r="C15" s="3" t="s">
        <v>124</v>
      </c>
    </row>
    <row r="16" spans="1:8" x14ac:dyDescent="0.3">
      <c r="B16" s="2" t="s">
        <v>125</v>
      </c>
      <c r="C16" s="3" t="s">
        <v>126</v>
      </c>
    </row>
    <row r="17" spans="2:3" x14ac:dyDescent="0.3">
      <c r="B17" s="2" t="s">
        <v>127</v>
      </c>
      <c r="C17" s="3" t="s">
        <v>128</v>
      </c>
    </row>
    <row r="18" spans="2:3" x14ac:dyDescent="0.3">
      <c r="B18" s="2" t="s">
        <v>129</v>
      </c>
      <c r="C18" s="3" t="s">
        <v>130</v>
      </c>
    </row>
    <row r="19" spans="2:3" x14ac:dyDescent="0.3">
      <c r="B19" s="2" t="s">
        <v>131</v>
      </c>
      <c r="C19" s="3" t="s">
        <v>132</v>
      </c>
    </row>
    <row r="20" spans="2:3" x14ac:dyDescent="0.3">
      <c r="B20" s="2" t="s">
        <v>133</v>
      </c>
      <c r="C20" s="3" t="s">
        <v>134</v>
      </c>
    </row>
    <row r="21" spans="2:3" x14ac:dyDescent="0.3">
      <c r="B21" s="2" t="s">
        <v>135</v>
      </c>
      <c r="C21" s="3" t="s">
        <v>136</v>
      </c>
    </row>
    <row r="22" spans="2:3" x14ac:dyDescent="0.3">
      <c r="B22" s="2" t="s">
        <v>137</v>
      </c>
      <c r="C22" s="3" t="s">
        <v>138</v>
      </c>
    </row>
    <row r="23" spans="2:3" x14ac:dyDescent="0.3">
      <c r="B23" s="2" t="s">
        <v>139</v>
      </c>
      <c r="C23" s="3" t="s">
        <v>140</v>
      </c>
    </row>
    <row r="24" spans="2:3" x14ac:dyDescent="0.3">
      <c r="B24" s="2" t="s">
        <v>141</v>
      </c>
      <c r="C24" s="3" t="s">
        <v>142</v>
      </c>
    </row>
    <row r="25" spans="2:3" x14ac:dyDescent="0.3">
      <c r="B25" s="2" t="s">
        <v>143</v>
      </c>
      <c r="C25" s="3" t="s">
        <v>144</v>
      </c>
    </row>
    <row r="26" spans="2:3" x14ac:dyDescent="0.3">
      <c r="B26" s="2"/>
      <c r="C26" s="3"/>
    </row>
    <row r="27" spans="2:3" x14ac:dyDescent="0.3">
      <c r="B27" s="1" t="s">
        <v>145</v>
      </c>
    </row>
    <row r="28" spans="2:3" x14ac:dyDescent="0.3">
      <c r="B28" s="2" t="s">
        <v>146</v>
      </c>
      <c r="C28" s="3" t="s">
        <v>147</v>
      </c>
    </row>
    <row r="29" spans="2:3" x14ac:dyDescent="0.3">
      <c r="B29" s="2"/>
      <c r="C29" s="3"/>
    </row>
    <row r="30" spans="2:3" x14ac:dyDescent="0.3">
      <c r="B30" s="1" t="s">
        <v>148</v>
      </c>
      <c r="C30" s="3"/>
    </row>
    <row r="31" spans="2:3" x14ac:dyDescent="0.3"/>
    <row r="32" spans="2:3" x14ac:dyDescent="0.3"/>
    <row r="33" x14ac:dyDescent="0.3"/>
    <row r="34" x14ac:dyDescent="0.3"/>
    <row r="35" x14ac:dyDescent="0.3"/>
  </sheetData>
  <hyperlinks>
    <hyperlink ref="C5" r:id="rId1" display="http://www.myonlinetraininghub.com/category/excel-charts" xr:uid="{CBA3C5AE-F901-47B0-B67E-A1783E05F6E4}"/>
    <hyperlink ref="C6" r:id="rId2" display="http://www.myonlinetraininghub.com/category/excel-dashboard" xr:uid="{D7A546FB-FBA8-40D4-B30C-D5713B79236C}"/>
    <hyperlink ref="C19" r:id="rId3" xr:uid="{038998E4-0014-4A81-9203-5D2ADFA68058}"/>
    <hyperlink ref="C9" r:id="rId4" display="http://www.myonlinetraininghub.com/excel-webinars" xr:uid="{59ED9355-3D75-41BB-B4EF-7AAAE7367134}"/>
    <hyperlink ref="C28" r:id="rId5" xr:uid="{EADAD965-8DC6-45D9-8D53-73D3EF04FEC7}"/>
    <hyperlink ref="C18" r:id="rId6" xr:uid="{F227F448-016C-426E-970F-EAAAF5E08AD1}"/>
    <hyperlink ref="C4" r:id="rId7" xr:uid="{C3E484EE-D98F-4674-B98D-9E57D1B1F041}"/>
    <hyperlink ref="C12" r:id="rId8" xr:uid="{A507D987-5B9B-4B33-A65C-9356F3F705C6}"/>
    <hyperlink ref="C13" r:id="rId9" xr:uid="{53486588-E007-491F-BC15-4442DD57ABF1}"/>
    <hyperlink ref="C14" r:id="rId10" xr:uid="{C85AE476-008D-4A1D-B7FD-5313A0299D82}"/>
    <hyperlink ref="C15" r:id="rId11" xr:uid="{FB8E88B7-A576-49D4-B6BB-3BA1DC493EAD}"/>
    <hyperlink ref="C16" r:id="rId12" xr:uid="{0156FA2A-8263-4734-A72F-E24048BF94FF}"/>
    <hyperlink ref="C17" r:id="rId13" xr:uid="{3713E75B-1796-435A-BD92-229997677D60}"/>
    <hyperlink ref="C20" r:id="rId14" xr:uid="{AB20A9AD-BAA2-450A-820A-F6FF148068C0}"/>
    <hyperlink ref="C21" r:id="rId15" xr:uid="{CEC07DA0-3EFD-41D1-AD4A-F5B7FA220682}"/>
    <hyperlink ref="C22" r:id="rId16" xr:uid="{047D8E6A-BC21-4621-84A0-758CE29BEFC6}"/>
    <hyperlink ref="C23" r:id="rId17" xr:uid="{2256B14F-C23D-43ED-B65A-1A2AB6EA7DCB}"/>
    <hyperlink ref="C24" r:id="rId18" xr:uid="{D07AA9E9-95A5-492A-A118-A728D44F4904}"/>
    <hyperlink ref="C25" r:id="rId19" xr:uid="{FEA884D9-F3FA-4C59-8E42-6C0A8BE7329D}"/>
  </hyperlinks>
  <pageMargins left="0.7" right="0.7" top="0.75" bottom="0.75" header="0.3" footer="0.3"/>
  <drawing r:id="rId2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ec5a1a-e29c-407e-9660-cb4eaaff03ab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9E49C56486844AEA3493470A3BA7F" ma:contentTypeVersion="18" ma:contentTypeDescription="Create a new document." ma:contentTypeScope="" ma:versionID="e113dd8c6d9d6d8e50c33cd355eeb814">
  <xsd:schema xmlns:xsd="http://www.w3.org/2001/XMLSchema" xmlns:xs="http://www.w3.org/2001/XMLSchema" xmlns:p="http://schemas.microsoft.com/office/2006/metadata/properties" xmlns:ns3="04ec5a1a-e29c-407e-9660-cb4eaaff03ab" xmlns:ns4="98587d8b-32ff-4694-8d3a-6f66eb643b0d" targetNamespace="http://schemas.microsoft.com/office/2006/metadata/properties" ma:root="true" ma:fieldsID="654ccc4b072c8ba42f6f064ab7b3a12b" ns3:_="" ns4:_="">
    <xsd:import namespace="04ec5a1a-e29c-407e-9660-cb4eaaff03ab"/>
    <xsd:import namespace="98587d8b-32ff-4694-8d3a-6f66eb643b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c5a1a-e29c-407e-9660-cb4eaaff03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87d8b-32ff-4694-8d3a-6f66eb643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F14EA0-1B09-4BA6-A1E0-FED8521C2B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00B319-165B-4AE8-A6AE-EED707A1FDFE}">
  <ds:schemaRefs>
    <ds:schemaRef ds:uri="http://schemas.microsoft.com/office/2006/metadata/properties"/>
    <ds:schemaRef ds:uri="http://schemas.microsoft.com/office/infopath/2007/PartnerControls"/>
    <ds:schemaRef ds:uri="04ec5a1a-e29c-407e-9660-cb4eaaff03ab"/>
  </ds:schemaRefs>
</ds:datastoreItem>
</file>

<file path=customXml/itemProps3.xml><?xml version="1.0" encoding="utf-8"?>
<ds:datastoreItem xmlns:ds="http://schemas.openxmlformats.org/officeDocument/2006/customXml" ds:itemID="{84B241E6-AE4C-4EA5-96CC-6E77ABF1BB4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184B4C1-4F0A-455C-A4C4-43B4C034F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ec5a1a-e29c-407e-9660-cb4eaaff03ab"/>
    <ds:schemaRef ds:uri="98587d8b-32ff-4694-8d3a-6f66eb643b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Copyright</vt:lpstr>
      <vt:lpstr>Data</vt:lpstr>
      <vt:lpstr>Data (2)</vt:lpstr>
      <vt:lpstr>AutoFit</vt:lpstr>
      <vt:lpstr>Remove Duplicates</vt:lpstr>
      <vt:lpstr>Trim Extra Spaces</vt:lpstr>
      <vt:lpstr>Eliminate Blank Cells</vt:lpstr>
      <vt:lpstr>Spell Check</vt:lpstr>
      <vt:lpstr>Data Validation</vt:lpstr>
      <vt:lpstr>Table</vt:lpstr>
      <vt:lpstr>IFERROR</vt:lpstr>
      <vt:lpstr>Number Format</vt:lpstr>
      <vt:lpstr>Find &amp; Replace</vt:lpstr>
      <vt:lpstr>More Resources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Mynda Treacy</dc:creator>
  <cp:keywords/>
  <dc:description/>
  <cp:lastModifiedBy>HURUN 'AIN BINTI IDIMAZHAR</cp:lastModifiedBy>
  <cp:revision/>
  <dcterms:created xsi:type="dcterms:W3CDTF">2019-12-23T04:48:23Z</dcterms:created>
  <dcterms:modified xsi:type="dcterms:W3CDTF">2026-09-21T15:07:53Z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0x01010076A9E49C56486844AEA3493470A3BA7F</vt:lpwstr>
  </property>
</Properties>
</file>