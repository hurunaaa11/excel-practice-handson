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richPivotRecords1.xml" ContentType="application/vnd.openxmlformats-officedocument.spreadsheetml.richPivot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HUAWEI\Downloads\"/>
    </mc:Choice>
  </mc:AlternateContent>
  <xr:revisionPtr revIDLastSave="0" documentId="13_ncr:1_{80B15EC3-5B0A-41A7-B9D0-20BD228AE516}" xr6:coauthVersionLast="47" xr6:coauthVersionMax="47" xr10:uidLastSave="{00000000-0000-0000-0000-000000000000}"/>
  <bookViews>
    <workbookView xWindow="-108" yWindow="-108" windowWidth="23256" windowHeight="12456" activeTab="3" xr2:uid="{D1FC2354-1431-294E-9D05-A71CF1B59C9B}"/>
  </bookViews>
  <sheets>
    <sheet name="Cover Page" sheetId="5" r:id="rId1"/>
    <sheet name="Raw" sheetId="1" r:id="rId2"/>
    <sheet name="Clean" sheetId="4" r:id="rId3"/>
    <sheet name="Analysis" sheetId="2" r:id="rId4"/>
    <sheet name="Findings" sheetId="3" r:id="rId5"/>
  </sheets>
  <definedNames>
    <definedName name="_xlchart.v1.0" hidden="1">Raw!$E$2</definedName>
    <definedName name="_xlchart.v1.1" hidden="1">Raw!$E$3:$E$259</definedName>
    <definedName name="_xlchart.v1.2" hidden="1">Raw!$H$3:$H$259</definedName>
    <definedName name="_xlchart.v1.3" hidden="1">Raw!$E$2</definedName>
    <definedName name="_xlchart.v1.4" hidden="1">Raw!$E$3:$E$259</definedName>
    <definedName name="_xlchart.v1.5" hidden="1">Raw!$E$2</definedName>
    <definedName name="_xlchart.v1.6" hidden="1">Raw!$E$3:$E$259</definedName>
  </definedNames>
  <calcPr calcId="191029"/>
  <pivotCaches>
    <pivotCache cacheId="6"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1" l="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K3" i="1" l="1" a="1"/>
  <c r="K3" i="1" s="1"/>
  <c r="K4" i="1" a="1"/>
  <c r="K4" i="1" s="1"/>
  <c r="K5" i="1" a="1"/>
  <c r="K5" i="1" s="1"/>
  <c r="K6" i="1" a="1"/>
  <c r="K6" i="1" s="1"/>
  <c r="K7" i="1" a="1"/>
  <c r="K7" i="1" s="1"/>
  <c r="K8" i="1" a="1"/>
  <c r="K8" i="1" s="1"/>
  <c r="K9" i="1" a="1"/>
  <c r="K9" i="1" s="1"/>
  <c r="K10" i="1" a="1"/>
  <c r="K10" i="1" s="1"/>
  <c r="K11" i="1" a="1"/>
  <c r="K11" i="1" s="1"/>
  <c r="K12" i="1" a="1"/>
  <c r="K12" i="1" s="1"/>
  <c r="K13" i="1" a="1"/>
  <c r="K13" i="1" s="1"/>
  <c r="K14" i="1" a="1"/>
  <c r="K14" i="1" s="1"/>
  <c r="K15" i="1" a="1"/>
  <c r="K15" i="1" s="1"/>
  <c r="K16" i="1" a="1"/>
  <c r="K16" i="1" s="1"/>
  <c r="K17" i="1" a="1"/>
  <c r="K17" i="1" s="1"/>
  <c r="K18" i="1" a="1"/>
  <c r="K18" i="1" s="1"/>
  <c r="K19" i="1" a="1"/>
  <c r="K19" i="1" s="1"/>
  <c r="K20" i="1" a="1"/>
  <c r="K20" i="1" s="1"/>
  <c r="K21" i="1" a="1"/>
  <c r="K21" i="1" s="1"/>
  <c r="K22" i="1" a="1"/>
  <c r="K22" i="1" s="1"/>
  <c r="K23" i="1" a="1"/>
  <c r="K23" i="1" s="1"/>
  <c r="K24" i="1" a="1"/>
  <c r="K24" i="1" s="1"/>
  <c r="K25" i="1" a="1"/>
  <c r="K25" i="1" s="1"/>
  <c r="K26" i="1" a="1"/>
  <c r="K26" i="1" s="1"/>
  <c r="K27" i="1" a="1"/>
  <c r="K27" i="1" s="1"/>
  <c r="K28" i="1" a="1"/>
  <c r="K28" i="1" s="1"/>
  <c r="K29" i="1" a="1"/>
  <c r="K29" i="1" s="1"/>
  <c r="K30" i="1" a="1"/>
  <c r="K30" i="1" s="1"/>
  <c r="K31" i="1" a="1"/>
  <c r="K31" i="1" s="1"/>
  <c r="K32" i="1" a="1"/>
  <c r="K32" i="1" s="1"/>
  <c r="K33" i="1" a="1"/>
  <c r="K33" i="1" s="1"/>
  <c r="K34" i="1" a="1"/>
  <c r="K34" i="1" s="1"/>
  <c r="K35" i="1" a="1"/>
  <c r="K35" i="1" s="1"/>
  <c r="K36" i="1" a="1"/>
  <c r="K36" i="1" s="1"/>
  <c r="K37" i="1" a="1"/>
  <c r="K37" i="1" s="1"/>
  <c r="K38" i="1" a="1"/>
  <c r="K38" i="1" s="1"/>
  <c r="K39" i="1" a="1"/>
  <c r="K39" i="1" s="1"/>
  <c r="K40" i="1" a="1"/>
  <c r="K40" i="1" s="1"/>
  <c r="K41" i="1" a="1"/>
  <c r="K41" i="1" s="1"/>
  <c r="K42" i="1" a="1"/>
  <c r="K42" i="1" s="1"/>
  <c r="K43" i="1" a="1"/>
  <c r="K43" i="1" s="1"/>
  <c r="K44" i="1" a="1"/>
  <c r="K44" i="1" s="1"/>
  <c r="K45" i="1" a="1"/>
  <c r="K45" i="1" s="1"/>
  <c r="K46" i="1" a="1"/>
  <c r="K46" i="1" s="1"/>
  <c r="K47" i="1" a="1"/>
  <c r="K47" i="1" s="1"/>
  <c r="K48" i="1" a="1"/>
  <c r="K48" i="1" s="1"/>
  <c r="K49" i="1" a="1"/>
  <c r="K49" i="1" s="1"/>
  <c r="K50" i="1" a="1"/>
  <c r="K50" i="1" s="1"/>
  <c r="K51" i="1" a="1"/>
  <c r="K51" i="1" s="1"/>
  <c r="K52" i="1" a="1"/>
  <c r="K52" i="1" s="1"/>
  <c r="K53" i="1" a="1"/>
  <c r="K53" i="1" s="1"/>
  <c r="K54" i="1" a="1"/>
  <c r="K54" i="1" s="1"/>
  <c r="K55" i="1" a="1"/>
  <c r="K55" i="1" s="1"/>
  <c r="K56" i="1" a="1"/>
  <c r="K56" i="1" s="1"/>
  <c r="K57" i="1" a="1"/>
  <c r="K57" i="1" s="1"/>
  <c r="K58" i="1" a="1"/>
  <c r="K58" i="1" s="1"/>
  <c r="K59" i="1" a="1"/>
  <c r="K59" i="1" s="1"/>
  <c r="K60" i="1" a="1"/>
  <c r="K60" i="1" s="1"/>
  <c r="K61" i="1" a="1"/>
  <c r="K61" i="1" s="1"/>
  <c r="K62" i="1" a="1"/>
  <c r="K62" i="1" s="1"/>
  <c r="K63" i="1" a="1"/>
  <c r="K63" i="1" s="1"/>
  <c r="K64" i="1" a="1"/>
  <c r="K64" i="1" s="1"/>
  <c r="K65" i="1" a="1"/>
  <c r="K65" i="1" s="1"/>
  <c r="K66" i="1" a="1"/>
  <c r="K66" i="1" s="1"/>
  <c r="K67" i="1" a="1"/>
  <c r="K67" i="1" s="1"/>
  <c r="K68" i="1" a="1"/>
  <c r="K68" i="1" s="1"/>
  <c r="K69" i="1" a="1"/>
  <c r="K69" i="1" s="1"/>
  <c r="K70" i="1" a="1"/>
  <c r="K70" i="1" s="1"/>
  <c r="K71" i="1" a="1"/>
  <c r="K71" i="1" s="1"/>
  <c r="K72" i="1" a="1"/>
  <c r="K72" i="1" s="1"/>
  <c r="K73" i="1" a="1"/>
  <c r="K73" i="1" s="1"/>
  <c r="K74" i="1" a="1"/>
  <c r="K74" i="1" s="1"/>
  <c r="K75" i="1" a="1"/>
  <c r="K75" i="1" s="1"/>
  <c r="K76" i="1" a="1"/>
  <c r="K76" i="1" s="1"/>
  <c r="K77" i="1" a="1"/>
  <c r="K77" i="1" s="1"/>
  <c r="K78" i="1" a="1"/>
  <c r="K78" i="1" s="1"/>
  <c r="K79" i="1" a="1"/>
  <c r="K79" i="1" s="1"/>
  <c r="K80" i="1" a="1"/>
  <c r="K80" i="1" s="1"/>
  <c r="K81" i="1" a="1"/>
  <c r="K81" i="1" s="1"/>
  <c r="K82" i="1" a="1"/>
  <c r="K82" i="1" s="1"/>
  <c r="K83" i="1" a="1"/>
  <c r="K83" i="1" s="1"/>
  <c r="K84" i="1" a="1"/>
  <c r="K84" i="1" s="1"/>
  <c r="K85" i="1" a="1"/>
  <c r="K85" i="1" s="1"/>
  <c r="K86" i="1" a="1"/>
  <c r="K86" i="1" s="1"/>
  <c r="K87" i="1" a="1"/>
  <c r="K87" i="1" s="1"/>
  <c r="K88" i="1" a="1"/>
  <c r="K88" i="1" s="1"/>
  <c r="K89" i="1" a="1"/>
  <c r="K89" i="1" s="1"/>
  <c r="K90" i="1" a="1"/>
  <c r="K90" i="1" s="1"/>
  <c r="K91" i="1" a="1"/>
  <c r="K91" i="1" s="1"/>
  <c r="K92" i="1" a="1"/>
  <c r="K92" i="1" s="1"/>
  <c r="K93" i="1" a="1"/>
  <c r="K93" i="1" s="1"/>
  <c r="K94" i="1" a="1"/>
  <c r="K94" i="1" s="1"/>
  <c r="K95" i="1" a="1"/>
  <c r="K95" i="1" s="1"/>
  <c r="K96" i="1" a="1"/>
  <c r="K96" i="1" s="1"/>
  <c r="K97" i="1" a="1"/>
  <c r="K97" i="1" s="1"/>
  <c r="K98" i="1" a="1"/>
  <c r="K98" i="1" s="1"/>
  <c r="K99" i="1" a="1"/>
  <c r="K99" i="1" s="1"/>
  <c r="K100" i="1" a="1"/>
  <c r="K100" i="1" s="1"/>
  <c r="K101" i="1" a="1"/>
  <c r="K101" i="1" s="1"/>
  <c r="K102" i="1" a="1"/>
  <c r="K102" i="1" s="1"/>
  <c r="K103" i="1" a="1"/>
  <c r="K103" i="1" s="1"/>
  <c r="K104" i="1" a="1"/>
  <c r="K104" i="1" s="1"/>
  <c r="K105" i="1" a="1"/>
  <c r="K105" i="1" s="1"/>
  <c r="K106" i="1" a="1"/>
  <c r="K106" i="1" s="1"/>
  <c r="K107" i="1" a="1"/>
  <c r="K107" i="1" s="1"/>
  <c r="K108" i="1" a="1"/>
  <c r="K108" i="1" s="1"/>
  <c r="K109" i="1" a="1"/>
  <c r="K109" i="1" s="1"/>
  <c r="K110" i="1" a="1"/>
  <c r="K110" i="1" s="1"/>
  <c r="K111" i="1" a="1"/>
  <c r="K111" i="1" s="1"/>
  <c r="K112" i="1" a="1"/>
  <c r="K112" i="1" s="1"/>
  <c r="K113" i="1" a="1"/>
  <c r="K113" i="1" s="1"/>
  <c r="K114" i="1" a="1"/>
  <c r="K114" i="1" s="1"/>
  <c r="K115" i="1" a="1"/>
  <c r="K115" i="1" s="1"/>
  <c r="K116" i="1" a="1"/>
  <c r="K116" i="1" s="1"/>
  <c r="K117" i="1" a="1"/>
  <c r="K117" i="1" s="1"/>
  <c r="K118" i="1" a="1"/>
  <c r="K118" i="1" s="1"/>
  <c r="K119" i="1" a="1"/>
  <c r="K119" i="1" s="1"/>
  <c r="K120" i="1" a="1"/>
  <c r="K120" i="1" s="1"/>
  <c r="K121" i="1" a="1"/>
  <c r="K121" i="1" s="1"/>
  <c r="K122" i="1" a="1"/>
  <c r="K122" i="1" s="1"/>
  <c r="K123" i="1" a="1"/>
  <c r="K123" i="1" s="1"/>
  <c r="K124" i="1" a="1"/>
  <c r="K124" i="1" s="1"/>
  <c r="K125" i="1" a="1"/>
  <c r="K125" i="1" s="1"/>
  <c r="K126" i="1" a="1"/>
  <c r="K126" i="1" s="1"/>
  <c r="K127" i="1" a="1"/>
  <c r="K127" i="1" s="1"/>
  <c r="K128" i="1" a="1"/>
  <c r="K128" i="1" s="1"/>
  <c r="K129" i="1" a="1"/>
  <c r="K129" i="1" s="1"/>
  <c r="K130" i="1" a="1"/>
  <c r="K130" i="1" s="1"/>
  <c r="K131" i="1" a="1"/>
  <c r="K131" i="1" s="1"/>
  <c r="K132" i="1" a="1"/>
  <c r="K132" i="1" s="1"/>
  <c r="K133" i="1" a="1"/>
  <c r="K133" i="1" s="1"/>
  <c r="K134" i="1" a="1"/>
  <c r="K134" i="1" s="1"/>
  <c r="K135" i="1" a="1"/>
  <c r="K135" i="1" s="1"/>
  <c r="K136" i="1" a="1"/>
  <c r="K136" i="1" s="1"/>
  <c r="K137" i="1" a="1"/>
  <c r="K137" i="1" s="1"/>
  <c r="K138" i="1" a="1"/>
  <c r="K138" i="1" s="1"/>
  <c r="K139" i="1" a="1"/>
  <c r="K139" i="1" s="1"/>
  <c r="K140" i="1" a="1"/>
  <c r="K140" i="1" s="1"/>
  <c r="K141" i="1" a="1"/>
  <c r="K141" i="1" s="1"/>
  <c r="K142" i="1" a="1"/>
  <c r="K142" i="1" s="1"/>
  <c r="K143" i="1" a="1"/>
  <c r="K143" i="1" s="1"/>
  <c r="K144" i="1" a="1"/>
  <c r="K144" i="1" s="1"/>
  <c r="K145" i="1" a="1"/>
  <c r="K145" i="1" s="1"/>
  <c r="K146" i="1" a="1"/>
  <c r="K146" i="1" s="1"/>
  <c r="K147" i="1" a="1"/>
  <c r="K147" i="1" s="1"/>
  <c r="K148" i="1" a="1"/>
  <c r="K148" i="1" s="1"/>
  <c r="K149" i="1" a="1"/>
  <c r="K149" i="1" s="1"/>
  <c r="K150" i="1" a="1"/>
  <c r="K150" i="1" s="1"/>
  <c r="K151" i="1" a="1"/>
  <c r="K151" i="1" s="1"/>
  <c r="K152" i="1" a="1"/>
  <c r="K152" i="1" s="1"/>
  <c r="K153" i="1" a="1"/>
  <c r="K153" i="1" s="1"/>
  <c r="K154" i="1" a="1"/>
  <c r="K154" i="1" s="1"/>
  <c r="K155" i="1" a="1"/>
  <c r="K155" i="1" s="1"/>
  <c r="K156" i="1" a="1"/>
  <c r="K156" i="1" s="1"/>
  <c r="K157" i="1" a="1"/>
  <c r="K157" i="1" s="1"/>
  <c r="K158" i="1" a="1"/>
  <c r="K158" i="1" s="1"/>
  <c r="K159" i="1" a="1"/>
  <c r="K159" i="1" s="1"/>
  <c r="K160" i="1" a="1"/>
  <c r="K160" i="1" s="1"/>
  <c r="K161" i="1" a="1"/>
  <c r="K161" i="1" s="1"/>
  <c r="K162" i="1" a="1"/>
  <c r="K162" i="1" s="1"/>
  <c r="K163" i="1" a="1"/>
  <c r="K163" i="1" s="1"/>
  <c r="K164" i="1" a="1"/>
  <c r="K164" i="1" s="1"/>
  <c r="K165" i="1" a="1"/>
  <c r="K165" i="1" s="1"/>
  <c r="K166" i="1" a="1"/>
  <c r="K166" i="1" s="1"/>
  <c r="K167" i="1" a="1"/>
  <c r="K167" i="1" s="1"/>
  <c r="K168" i="1" a="1"/>
  <c r="K168" i="1" s="1"/>
  <c r="K169" i="1" a="1"/>
  <c r="K169" i="1" s="1"/>
  <c r="K170" i="1" a="1"/>
  <c r="K170" i="1" s="1"/>
  <c r="K171" i="1" a="1"/>
  <c r="K171" i="1" s="1"/>
  <c r="K172" i="1" a="1"/>
  <c r="K172" i="1" s="1"/>
  <c r="K173" i="1" a="1"/>
  <c r="K173" i="1" s="1"/>
  <c r="K174" i="1" a="1"/>
  <c r="K174" i="1" s="1"/>
  <c r="K175" i="1" a="1"/>
  <c r="K175" i="1" s="1"/>
  <c r="K176" i="1" a="1"/>
  <c r="K176" i="1" s="1"/>
  <c r="K177" i="1" a="1"/>
  <c r="K177" i="1" s="1"/>
  <c r="K178" i="1" a="1"/>
  <c r="K178" i="1" s="1"/>
  <c r="K179" i="1" a="1"/>
  <c r="K179" i="1" s="1"/>
  <c r="K180" i="1" a="1"/>
  <c r="K180" i="1" s="1"/>
  <c r="K181" i="1" a="1"/>
  <c r="K181" i="1" s="1"/>
  <c r="K182" i="1" a="1"/>
  <c r="K182" i="1" s="1"/>
  <c r="K183" i="1" a="1"/>
  <c r="K183" i="1" s="1"/>
  <c r="K184" i="1" a="1"/>
  <c r="K184" i="1" s="1"/>
  <c r="K185" i="1" a="1"/>
  <c r="K185" i="1" s="1"/>
  <c r="K186" i="1" a="1"/>
  <c r="K186" i="1" s="1"/>
  <c r="K187" i="1" a="1"/>
  <c r="K187" i="1" s="1"/>
  <c r="K188" i="1" a="1"/>
  <c r="K188" i="1" s="1"/>
  <c r="K189" i="1" a="1"/>
  <c r="K189" i="1" s="1"/>
  <c r="K190" i="1" a="1"/>
  <c r="K190" i="1" s="1"/>
  <c r="K191" i="1" a="1"/>
  <c r="K191" i="1" s="1"/>
  <c r="K192" i="1" a="1"/>
  <c r="K192" i="1" s="1"/>
  <c r="K193" i="1" a="1"/>
  <c r="K193" i="1" s="1"/>
  <c r="K194" i="1" a="1"/>
  <c r="K194" i="1" s="1"/>
  <c r="K195" i="1" a="1"/>
  <c r="K195" i="1" s="1"/>
  <c r="K196" i="1" a="1"/>
  <c r="K196" i="1" s="1"/>
  <c r="K197" i="1" a="1"/>
  <c r="K197" i="1" s="1"/>
  <c r="K198" i="1" a="1"/>
  <c r="K198" i="1" s="1"/>
  <c r="K199" i="1" a="1"/>
  <c r="K199" i="1" s="1"/>
  <c r="K200" i="1" a="1"/>
  <c r="K200" i="1" s="1"/>
  <c r="K201" i="1" a="1"/>
  <c r="K201" i="1" s="1"/>
  <c r="K202" i="1" a="1"/>
  <c r="K202" i="1" s="1"/>
  <c r="K203" i="1" a="1"/>
  <c r="K203" i="1" s="1"/>
  <c r="K204" i="1" a="1"/>
  <c r="K204" i="1" s="1"/>
  <c r="K205" i="1" a="1"/>
  <c r="K205" i="1" s="1"/>
  <c r="K206" i="1" a="1"/>
  <c r="K206" i="1" s="1"/>
  <c r="K207" i="1" a="1"/>
  <c r="K207" i="1" s="1"/>
  <c r="K208" i="1" a="1"/>
  <c r="K208" i="1" s="1"/>
  <c r="K209" i="1" a="1"/>
  <c r="K209" i="1" s="1"/>
  <c r="K210" i="1" a="1"/>
  <c r="K210" i="1" s="1"/>
  <c r="K211" i="1" a="1"/>
  <c r="K211" i="1" s="1"/>
  <c r="K212" i="1" a="1"/>
  <c r="K212" i="1" s="1"/>
  <c r="K213" i="1" a="1"/>
  <c r="K213" i="1" s="1"/>
  <c r="K214" i="1" a="1"/>
  <c r="K214" i="1" s="1"/>
  <c r="K215" i="1" a="1"/>
  <c r="K215" i="1" s="1"/>
  <c r="K216" i="1" a="1"/>
  <c r="K216" i="1" s="1"/>
  <c r="K217" i="1" a="1"/>
  <c r="K217" i="1" s="1"/>
  <c r="K218" i="1" a="1"/>
  <c r="K218" i="1" s="1"/>
  <c r="K219" i="1" a="1"/>
  <c r="K219" i="1" s="1"/>
  <c r="K220" i="1" a="1"/>
  <c r="K220" i="1" s="1"/>
  <c r="K221" i="1" a="1"/>
  <c r="K221" i="1" s="1"/>
  <c r="K222" i="1" a="1"/>
  <c r="K222" i="1" s="1"/>
  <c r="K223" i="1" a="1"/>
  <c r="K223" i="1" s="1"/>
  <c r="K224" i="1" a="1"/>
  <c r="K224" i="1" s="1"/>
  <c r="K225" i="1" a="1"/>
  <c r="K225" i="1" s="1"/>
  <c r="K226" i="1" a="1"/>
  <c r="K226" i="1" s="1"/>
  <c r="K227" i="1" a="1"/>
  <c r="K227" i="1" s="1"/>
  <c r="K228" i="1" a="1"/>
  <c r="K228" i="1" s="1"/>
  <c r="K229" i="1" a="1"/>
  <c r="K229" i="1" s="1"/>
  <c r="K230" i="1" a="1"/>
  <c r="K230" i="1" s="1"/>
  <c r="K231" i="1" a="1"/>
  <c r="K231" i="1" s="1"/>
  <c r="K232" i="1" a="1"/>
  <c r="K232" i="1" s="1"/>
  <c r="K233" i="1" a="1"/>
  <c r="K233" i="1" s="1"/>
  <c r="K234" i="1" a="1"/>
  <c r="K234" i="1" s="1"/>
  <c r="K235" i="1" a="1"/>
  <c r="K235" i="1" s="1"/>
  <c r="K236" i="1" a="1"/>
  <c r="K236" i="1" s="1"/>
  <c r="K237" i="1" a="1"/>
  <c r="K237" i="1" s="1"/>
  <c r="K238" i="1" a="1"/>
  <c r="K238" i="1" s="1"/>
  <c r="K239" i="1" a="1"/>
  <c r="K239" i="1" s="1"/>
  <c r="K240" i="1" a="1"/>
  <c r="K240" i="1" s="1"/>
  <c r="K241" i="1" a="1"/>
  <c r="K241" i="1" s="1"/>
  <c r="K242" i="1" a="1"/>
  <c r="K242" i="1" s="1"/>
  <c r="K243" i="1" a="1"/>
  <c r="K243" i="1" s="1"/>
  <c r="K244" i="1" a="1"/>
  <c r="K244" i="1" s="1"/>
  <c r="K245" i="1" a="1"/>
  <c r="K245" i="1" s="1"/>
  <c r="K246" i="1" a="1"/>
  <c r="K246" i="1" s="1"/>
  <c r="K247" i="1" a="1"/>
  <c r="K247" i="1" s="1"/>
  <c r="K248" i="1" a="1"/>
  <c r="K248" i="1" s="1"/>
  <c r="K249" i="1" a="1"/>
  <c r="K249" i="1" s="1"/>
  <c r="K250" i="1" a="1"/>
  <c r="K250" i="1" s="1"/>
  <c r="K251" i="1" a="1"/>
  <c r="K251" i="1" s="1"/>
  <c r="K252" i="1" a="1"/>
  <c r="K252" i="1" s="1"/>
  <c r="K253" i="1" a="1"/>
  <c r="K253" i="1" s="1"/>
  <c r="K254" i="1" a="1"/>
  <c r="K254" i="1" s="1"/>
  <c r="K255" i="1" a="1"/>
  <c r="K255" i="1" s="1"/>
  <c r="K256" i="1" a="1"/>
  <c r="K256" i="1" s="1"/>
  <c r="K257" i="1" a="1"/>
  <c r="K257" i="1" s="1"/>
  <c r="K258" i="1" a="1"/>
  <c r="K258" i="1" s="1"/>
  <c r="K259" i="1" a="1"/>
  <c r="K259" i="1" s="1"/>
  <c r="M3" i="4"/>
  <c r="M4" i="4"/>
  <c r="C10" i="3" s="1"/>
  <c r="M5" i="4"/>
  <c r="M6" i="4"/>
  <c r="M7" i="4"/>
  <c r="M8" i="4"/>
  <c r="M9" i="4"/>
  <c r="M10" i="4"/>
  <c r="M11" i="4"/>
  <c r="M12" i="4"/>
  <c r="M13" i="4"/>
  <c r="M14" i="4"/>
  <c r="M15" i="4"/>
  <c r="C12" i="3" s="1"/>
  <c r="M16" i="4"/>
  <c r="C13" i="3" s="1"/>
  <c r="M17" i="4"/>
  <c r="M18" i="4"/>
  <c r="M19" i="4"/>
  <c r="M20" i="4"/>
  <c r="M21" i="4"/>
  <c r="C9" i="3" s="1"/>
  <c r="M22" i="4"/>
  <c r="M23" i="4"/>
  <c r="C11" i="3" s="1"/>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C6" i="3"/>
  <c r="I256" i="4" a="1"/>
  <c r="I256" i="4" s="1"/>
  <c r="I255" i="4" a="1"/>
  <c r="I255" i="4" s="1"/>
  <c r="I254" i="4" a="1"/>
  <c r="I254" i="4" s="1"/>
  <c r="I253" i="4" a="1"/>
  <c r="I253" i="4" s="1"/>
  <c r="I252" i="4" a="1"/>
  <c r="I252" i="4" s="1"/>
  <c r="I251" i="4" a="1"/>
  <c r="I251" i="4" s="1"/>
  <c r="I250" i="4" a="1"/>
  <c r="I250" i="4" s="1"/>
  <c r="I249" i="4" a="1"/>
  <c r="I249" i="4" s="1"/>
  <c r="I248" i="4" a="1"/>
  <c r="I248" i="4" s="1"/>
  <c r="I247" i="4" a="1"/>
  <c r="I247" i="4" s="1"/>
  <c r="I246" i="4" a="1"/>
  <c r="I246" i="4" s="1"/>
  <c r="I245" i="4" a="1"/>
  <c r="I245" i="4" s="1"/>
  <c r="I244" i="4" a="1"/>
  <c r="I244" i="4" s="1"/>
  <c r="I243" i="4" a="1"/>
  <c r="I243" i="4" s="1"/>
  <c r="I242" i="4" a="1"/>
  <c r="I242" i="4" s="1"/>
  <c r="I241" i="4" a="1"/>
  <c r="I241" i="4" s="1"/>
  <c r="I240" i="4" a="1"/>
  <c r="I240" i="4" s="1"/>
  <c r="I239" i="4" a="1"/>
  <c r="I239" i="4" s="1"/>
  <c r="I238" i="4" a="1"/>
  <c r="I238" i="4" s="1"/>
  <c r="I237" i="4" a="1"/>
  <c r="I237" i="4" s="1"/>
  <c r="I236" i="4" a="1"/>
  <c r="I236" i="4" s="1"/>
  <c r="I235" i="4" a="1"/>
  <c r="I235" i="4" s="1"/>
  <c r="I234" i="4" a="1"/>
  <c r="I234" i="4" s="1"/>
  <c r="I233" i="4" a="1"/>
  <c r="I233" i="4" s="1"/>
  <c r="I232" i="4" a="1"/>
  <c r="I232" i="4" s="1"/>
  <c r="I231" i="4" a="1"/>
  <c r="I231" i="4" s="1"/>
  <c r="I230" i="4" a="1"/>
  <c r="I230" i="4" s="1"/>
  <c r="I229" i="4" a="1"/>
  <c r="I229" i="4" s="1"/>
  <c r="I228" i="4" a="1"/>
  <c r="I228" i="4" s="1"/>
  <c r="I227" i="4" a="1"/>
  <c r="I227" i="4" s="1"/>
  <c r="I226" i="4" a="1"/>
  <c r="I226" i="4" s="1"/>
  <c r="I225" i="4" a="1"/>
  <c r="I225" i="4" s="1"/>
  <c r="I224" i="4" a="1"/>
  <c r="I224" i="4" s="1"/>
  <c r="I223" i="4" a="1"/>
  <c r="I223" i="4" s="1"/>
  <c r="I222" i="4" a="1"/>
  <c r="I222" i="4" s="1"/>
  <c r="I221" i="4" a="1"/>
  <c r="I221" i="4" s="1"/>
  <c r="I220" i="4" a="1"/>
  <c r="I220" i="4" s="1"/>
  <c r="I219" i="4" a="1"/>
  <c r="I219" i="4" s="1"/>
  <c r="I218" i="4" a="1"/>
  <c r="I218" i="4" s="1"/>
  <c r="I217" i="4" a="1"/>
  <c r="I217" i="4" s="1"/>
  <c r="I216" i="4" a="1"/>
  <c r="I216" i="4" s="1"/>
  <c r="I215" i="4" a="1"/>
  <c r="I215" i="4" s="1"/>
  <c r="I214" i="4" a="1"/>
  <c r="I214" i="4" s="1"/>
  <c r="I213" i="4" a="1"/>
  <c r="I213" i="4" s="1"/>
  <c r="I212" i="4" a="1"/>
  <c r="I212" i="4" s="1"/>
  <c r="I211" i="4" a="1"/>
  <c r="I211" i="4" s="1"/>
  <c r="I210" i="4" a="1"/>
  <c r="I210" i="4" s="1"/>
  <c r="I209" i="4" a="1"/>
  <c r="I209" i="4" s="1"/>
  <c r="I208" i="4" a="1"/>
  <c r="I208" i="4" s="1"/>
  <c r="I207" i="4" a="1"/>
  <c r="I207" i="4" s="1"/>
  <c r="I206" i="4" a="1"/>
  <c r="I206" i="4" s="1"/>
  <c r="I205" i="4" a="1"/>
  <c r="I205" i="4" s="1"/>
  <c r="I204" i="4" a="1"/>
  <c r="I204" i="4" s="1"/>
  <c r="I203" i="4" a="1"/>
  <c r="I203" i="4" s="1"/>
  <c r="I202" i="4" a="1"/>
  <c r="I202" i="4" s="1"/>
  <c r="I201" i="4" a="1"/>
  <c r="I201" i="4" s="1"/>
  <c r="I200" i="4" a="1"/>
  <c r="I200" i="4" s="1"/>
  <c r="I199" i="4" a="1"/>
  <c r="I199" i="4" s="1"/>
  <c r="I198" i="4" a="1"/>
  <c r="I198" i="4" s="1"/>
  <c r="I197" i="4" a="1"/>
  <c r="I197" i="4" s="1"/>
  <c r="I196" i="4" a="1"/>
  <c r="I196" i="4" s="1"/>
  <c r="I195" i="4" a="1"/>
  <c r="I195" i="4" s="1"/>
  <c r="I194" i="4" a="1"/>
  <c r="I194" i="4" s="1"/>
  <c r="I193" i="4" a="1"/>
  <c r="I193" i="4" s="1"/>
  <c r="I192" i="4" a="1"/>
  <c r="I192" i="4" s="1"/>
  <c r="I191" i="4" a="1"/>
  <c r="I191" i="4" s="1"/>
  <c r="I190" i="4" a="1"/>
  <c r="I190" i="4" s="1"/>
  <c r="I189" i="4" a="1"/>
  <c r="I189" i="4" s="1"/>
  <c r="I188" i="4" a="1"/>
  <c r="I188" i="4" s="1"/>
  <c r="I187" i="4" a="1"/>
  <c r="I187" i="4" s="1"/>
  <c r="I186" i="4" a="1"/>
  <c r="I186" i="4" s="1"/>
  <c r="I185" i="4" a="1"/>
  <c r="I185" i="4" s="1"/>
  <c r="I184" i="4" a="1"/>
  <c r="I184" i="4" s="1"/>
  <c r="I183" i="4" a="1"/>
  <c r="I183" i="4" s="1"/>
  <c r="I182" i="4" a="1"/>
  <c r="I182" i="4" s="1"/>
  <c r="I181" i="4" a="1"/>
  <c r="I181" i="4" s="1"/>
  <c r="I180" i="4" a="1"/>
  <c r="I180" i="4" s="1"/>
  <c r="I179" i="4" a="1"/>
  <c r="I179" i="4" s="1"/>
  <c r="I178" i="4" a="1"/>
  <c r="I178" i="4" s="1"/>
  <c r="I177" i="4" a="1"/>
  <c r="I177" i="4" s="1"/>
  <c r="I176" i="4" a="1"/>
  <c r="I176" i="4" s="1"/>
  <c r="I175" i="4" a="1"/>
  <c r="I175" i="4" s="1"/>
  <c r="I174" i="4" a="1"/>
  <c r="I174" i="4" s="1"/>
  <c r="I173" i="4" a="1"/>
  <c r="I173" i="4" s="1"/>
  <c r="I172" i="4" a="1"/>
  <c r="I172" i="4" s="1"/>
  <c r="I171" i="4" a="1"/>
  <c r="I171" i="4" s="1"/>
  <c r="I170" i="4" a="1"/>
  <c r="I170" i="4" s="1"/>
  <c r="I169" i="4" a="1"/>
  <c r="I169" i="4" s="1"/>
  <c r="I168" i="4" a="1"/>
  <c r="I168" i="4" s="1"/>
  <c r="I167" i="4" a="1"/>
  <c r="I167" i="4" s="1"/>
  <c r="I166" i="4" a="1"/>
  <c r="I166" i="4" s="1"/>
  <c r="I165" i="4" a="1"/>
  <c r="I165" i="4" s="1"/>
  <c r="I164" i="4" a="1"/>
  <c r="I164" i="4" s="1"/>
  <c r="I163" i="4" a="1"/>
  <c r="I163" i="4" s="1"/>
  <c r="I162" i="4" a="1"/>
  <c r="I162" i="4" s="1"/>
  <c r="I161" i="4" a="1"/>
  <c r="I161" i="4" s="1"/>
  <c r="I160" i="4" a="1"/>
  <c r="I160" i="4" s="1"/>
  <c r="I159" i="4" a="1"/>
  <c r="I159" i="4" s="1"/>
  <c r="I158" i="4" a="1"/>
  <c r="I158" i="4" s="1"/>
  <c r="I157" i="4" a="1"/>
  <c r="I157" i="4" s="1"/>
  <c r="I156" i="4" a="1"/>
  <c r="I156" i="4" s="1"/>
  <c r="I155" i="4" a="1"/>
  <c r="I155" i="4" s="1"/>
  <c r="I154" i="4" a="1"/>
  <c r="I154" i="4" s="1"/>
  <c r="I153" i="4" a="1"/>
  <c r="I153" i="4" s="1"/>
  <c r="I152" i="4" a="1"/>
  <c r="I152" i="4" s="1"/>
  <c r="I151" i="4" a="1"/>
  <c r="I151" i="4" s="1"/>
  <c r="I150" i="4" a="1"/>
  <c r="I150" i="4" s="1"/>
  <c r="I149" i="4" a="1"/>
  <c r="I149" i="4" s="1"/>
  <c r="I148" i="4" a="1"/>
  <c r="I148" i="4" s="1"/>
  <c r="I147" i="4" a="1"/>
  <c r="I147" i="4" s="1"/>
  <c r="I146" i="4" a="1"/>
  <c r="I146" i="4" s="1"/>
  <c r="I145" i="4" a="1"/>
  <c r="I145" i="4" s="1"/>
  <c r="I144" i="4" a="1"/>
  <c r="I144" i="4" s="1"/>
  <c r="I143" i="4" a="1"/>
  <c r="I143" i="4" s="1"/>
  <c r="I142" i="4" a="1"/>
  <c r="I142" i="4" s="1"/>
  <c r="I141" i="4" a="1"/>
  <c r="I141" i="4" s="1"/>
  <c r="I140" i="4" a="1"/>
  <c r="I140" i="4" s="1"/>
  <c r="I139" i="4" a="1"/>
  <c r="I139" i="4" s="1"/>
  <c r="I138" i="4" a="1"/>
  <c r="I138" i="4" s="1"/>
  <c r="I137" i="4" a="1"/>
  <c r="I137" i="4" s="1"/>
  <c r="I136" i="4" a="1"/>
  <c r="I136" i="4" s="1"/>
  <c r="I135" i="4" a="1"/>
  <c r="I135" i="4" s="1"/>
  <c r="I134" i="4" a="1"/>
  <c r="I134" i="4" s="1"/>
  <c r="I133" i="4" a="1"/>
  <c r="I133" i="4" s="1"/>
  <c r="I132" i="4" a="1"/>
  <c r="I132" i="4" s="1"/>
  <c r="I131" i="4" a="1"/>
  <c r="I131" i="4" s="1"/>
  <c r="I130" i="4" a="1"/>
  <c r="I130" i="4" s="1"/>
  <c r="I129" i="4" a="1"/>
  <c r="I129" i="4" s="1"/>
  <c r="I128" i="4" a="1"/>
  <c r="I128" i="4" s="1"/>
  <c r="I127" i="4" a="1"/>
  <c r="I127" i="4" s="1"/>
  <c r="I126" i="4" a="1"/>
  <c r="I126" i="4" s="1"/>
  <c r="I125" i="4" a="1"/>
  <c r="I125" i="4" s="1"/>
  <c r="I124" i="4" a="1"/>
  <c r="I124" i="4" s="1"/>
  <c r="I123" i="4" a="1"/>
  <c r="I123" i="4" s="1"/>
  <c r="I122" i="4" a="1"/>
  <c r="I122" i="4" s="1"/>
  <c r="I121" i="4" a="1"/>
  <c r="I121" i="4" s="1"/>
  <c r="I120" i="4" a="1"/>
  <c r="I120" i="4" s="1"/>
  <c r="I119" i="4" a="1"/>
  <c r="I119" i="4" s="1"/>
  <c r="I118" i="4" a="1"/>
  <c r="I118" i="4" s="1"/>
  <c r="I117" i="4" a="1"/>
  <c r="I117" i="4" s="1"/>
  <c r="I116" i="4" a="1"/>
  <c r="I116" i="4" s="1"/>
  <c r="I115" i="4" a="1"/>
  <c r="I115" i="4" s="1"/>
  <c r="I114" i="4" a="1"/>
  <c r="I114" i="4" s="1"/>
  <c r="I113" i="4" a="1"/>
  <c r="I113" i="4" s="1"/>
  <c r="I112" i="4" a="1"/>
  <c r="I112" i="4" s="1"/>
  <c r="I111" i="4" a="1"/>
  <c r="I111" i="4" s="1"/>
  <c r="I110" i="4" a="1"/>
  <c r="I110" i="4" s="1"/>
  <c r="I109" i="4" a="1"/>
  <c r="I109" i="4" s="1"/>
  <c r="I108" i="4" a="1"/>
  <c r="I108" i="4" s="1"/>
  <c r="I107" i="4" a="1"/>
  <c r="I107" i="4" s="1"/>
  <c r="I106" i="4" a="1"/>
  <c r="I106" i="4" s="1"/>
  <c r="I105" i="4" a="1"/>
  <c r="I105" i="4" s="1"/>
  <c r="I104" i="4" a="1"/>
  <c r="I104" i="4" s="1"/>
  <c r="I103" i="4" a="1"/>
  <c r="I103" i="4" s="1"/>
  <c r="I102" i="4" a="1"/>
  <c r="I102" i="4" s="1"/>
  <c r="I101" i="4" a="1"/>
  <c r="I101" i="4" s="1"/>
  <c r="I100" i="4" a="1"/>
  <c r="I100" i="4" s="1"/>
  <c r="I99" i="4" a="1"/>
  <c r="I99" i="4" s="1"/>
  <c r="I98" i="4" a="1"/>
  <c r="I98" i="4" s="1"/>
  <c r="I97" i="4" a="1"/>
  <c r="I97" i="4" s="1"/>
  <c r="I96" i="4" a="1"/>
  <c r="I96" i="4" s="1"/>
  <c r="I95" i="4" a="1"/>
  <c r="I95" i="4" s="1"/>
  <c r="I94" i="4" a="1"/>
  <c r="I94" i="4" s="1"/>
  <c r="I93" i="4" a="1"/>
  <c r="I93" i="4" s="1"/>
  <c r="I92" i="4" a="1"/>
  <c r="I92" i="4" s="1"/>
  <c r="I91" i="4" a="1"/>
  <c r="I91" i="4" s="1"/>
  <c r="I90" i="4" a="1"/>
  <c r="I90" i="4" s="1"/>
  <c r="I89" i="4" a="1"/>
  <c r="I89" i="4" s="1"/>
  <c r="I88" i="4" a="1"/>
  <c r="I88" i="4" s="1"/>
  <c r="I87" i="4" a="1"/>
  <c r="I87" i="4" s="1"/>
  <c r="I86" i="4" a="1"/>
  <c r="I86" i="4" s="1"/>
  <c r="I85" i="4" a="1"/>
  <c r="I85" i="4" s="1"/>
  <c r="I84" i="4" a="1"/>
  <c r="I84" i="4" s="1"/>
  <c r="I83" i="4" a="1"/>
  <c r="I83" i="4" s="1"/>
  <c r="I82" i="4" a="1"/>
  <c r="I82" i="4" s="1"/>
  <c r="I81" i="4" a="1"/>
  <c r="I81" i="4" s="1"/>
  <c r="I80" i="4" a="1"/>
  <c r="I80" i="4" s="1"/>
  <c r="I79" i="4" a="1"/>
  <c r="I79" i="4" s="1"/>
  <c r="I78" i="4" a="1"/>
  <c r="I78" i="4" s="1"/>
  <c r="I77" i="4" a="1"/>
  <c r="I77" i="4" s="1"/>
  <c r="I76" i="4" a="1"/>
  <c r="I76" i="4" s="1"/>
  <c r="I75" i="4" a="1"/>
  <c r="I75" i="4" s="1"/>
  <c r="I74" i="4" a="1"/>
  <c r="I74" i="4" s="1"/>
  <c r="I73" i="4" a="1"/>
  <c r="I73" i="4" s="1"/>
  <c r="I72" i="4" a="1"/>
  <c r="I72" i="4" s="1"/>
  <c r="I71" i="4" a="1"/>
  <c r="I71" i="4" s="1"/>
  <c r="I70" i="4" a="1"/>
  <c r="I70" i="4" s="1"/>
  <c r="I69" i="4" a="1"/>
  <c r="I69" i="4" s="1"/>
  <c r="I68" i="4" a="1"/>
  <c r="I68" i="4" s="1"/>
  <c r="I67" i="4" a="1"/>
  <c r="I67" i="4" s="1"/>
  <c r="I66" i="4" a="1"/>
  <c r="I66" i="4" s="1"/>
  <c r="I65" i="4" a="1"/>
  <c r="I65" i="4" s="1"/>
  <c r="I64" i="4" a="1"/>
  <c r="I64" i="4" s="1"/>
  <c r="I63" i="4" a="1"/>
  <c r="I63" i="4" s="1"/>
  <c r="I62" i="4" a="1"/>
  <c r="I62" i="4" s="1"/>
  <c r="I61" i="4" a="1"/>
  <c r="I61" i="4" s="1"/>
  <c r="I60" i="4" a="1"/>
  <c r="I60" i="4" s="1"/>
  <c r="I59" i="4" a="1"/>
  <c r="I59" i="4" s="1"/>
  <c r="I58" i="4" a="1"/>
  <c r="I58" i="4" s="1"/>
  <c r="I57" i="4" a="1"/>
  <c r="I57" i="4" s="1"/>
  <c r="I56" i="4" a="1"/>
  <c r="I56" i="4" s="1"/>
  <c r="I55" i="4" a="1"/>
  <c r="I55" i="4" s="1"/>
  <c r="I54" i="4" a="1"/>
  <c r="I54" i="4" s="1"/>
  <c r="I53" i="4" a="1"/>
  <c r="I53" i="4" s="1"/>
  <c r="I52" i="4" a="1"/>
  <c r="I52" i="4" s="1"/>
  <c r="I51" i="4" a="1"/>
  <c r="I51" i="4" s="1"/>
  <c r="I50" i="4" a="1"/>
  <c r="I50" i="4" s="1"/>
  <c r="I49" i="4" a="1"/>
  <c r="I49" i="4" s="1"/>
  <c r="I48" i="4" a="1"/>
  <c r="I48" i="4" s="1"/>
  <c r="I47" i="4" a="1"/>
  <c r="I47" i="4" s="1"/>
  <c r="I46" i="4" a="1"/>
  <c r="I46" i="4" s="1"/>
  <c r="I45" i="4" a="1"/>
  <c r="I45" i="4" s="1"/>
  <c r="I44" i="4" a="1"/>
  <c r="I44" i="4" s="1"/>
  <c r="I43" i="4" a="1"/>
  <c r="I43" i="4" s="1"/>
  <c r="I42" i="4" a="1"/>
  <c r="I42" i="4" s="1"/>
  <c r="I41" i="4" a="1"/>
  <c r="I41" i="4" s="1"/>
  <c r="I40" i="4" a="1"/>
  <c r="I40" i="4" s="1"/>
  <c r="I39" i="4" a="1"/>
  <c r="I39" i="4" s="1"/>
  <c r="I38" i="4" a="1"/>
  <c r="I38" i="4" s="1"/>
  <c r="I37" i="4" a="1"/>
  <c r="I37" i="4" s="1"/>
  <c r="I36" i="4" a="1"/>
  <c r="I36" i="4" s="1"/>
  <c r="I35" i="4" a="1"/>
  <c r="I35" i="4" s="1"/>
  <c r="I34" i="4" a="1"/>
  <c r="I34" i="4" s="1"/>
  <c r="I33" i="4" a="1"/>
  <c r="I33" i="4" s="1"/>
  <c r="I32" i="4" a="1"/>
  <c r="I32" i="4" s="1"/>
  <c r="I31" i="4" a="1"/>
  <c r="I31" i="4" s="1"/>
  <c r="I30" i="4" a="1"/>
  <c r="I30" i="4" s="1"/>
  <c r="I29" i="4" a="1"/>
  <c r="I29" i="4" s="1"/>
  <c r="I28" i="4" a="1"/>
  <c r="I28" i="4" s="1"/>
  <c r="I27" i="4" a="1"/>
  <c r="I27" i="4" s="1"/>
  <c r="I26" i="4" a="1"/>
  <c r="I26" i="4" s="1"/>
  <c r="I25" i="4" a="1"/>
  <c r="I25" i="4" s="1"/>
  <c r="I24" i="4" a="1"/>
  <c r="I24" i="4" s="1"/>
  <c r="I23" i="4" a="1"/>
  <c r="I23" i="4" s="1"/>
  <c r="I22" i="4" a="1"/>
  <c r="I22" i="4" s="1"/>
  <c r="I21" i="4" a="1"/>
  <c r="I21" i="4" s="1"/>
  <c r="I20" i="4" a="1"/>
  <c r="I20" i="4" s="1"/>
  <c r="I19" i="4" a="1"/>
  <c r="I19" i="4" s="1"/>
  <c r="I18" i="4" a="1"/>
  <c r="I18" i="4" s="1"/>
  <c r="I17" i="4" a="1"/>
  <c r="I17" i="4" s="1"/>
  <c r="I16" i="4" a="1"/>
  <c r="I16" i="4" s="1"/>
  <c r="I15" i="4" a="1"/>
  <c r="I15" i="4" s="1"/>
  <c r="I14" i="4" a="1"/>
  <c r="I14" i="4" s="1"/>
  <c r="I13" i="4" a="1"/>
  <c r="I13" i="4" s="1"/>
  <c r="I12" i="4" a="1"/>
  <c r="I12" i="4" s="1"/>
  <c r="I11" i="4" a="1"/>
  <c r="I11" i="4" s="1"/>
  <c r="I10" i="4" a="1"/>
  <c r="I10" i="4" s="1"/>
  <c r="I9" i="4" a="1"/>
  <c r="I9" i="4" s="1"/>
  <c r="I8" i="4" a="1"/>
  <c r="I8" i="4" s="1"/>
  <c r="I7" i="4" a="1"/>
  <c r="I7" i="4" s="1"/>
  <c r="I6" i="4" a="1"/>
  <c r="I6" i="4" s="1"/>
  <c r="I5" i="4" a="1"/>
  <c r="I5" i="4" s="1"/>
  <c r="I4" i="4" a="1"/>
  <c r="I4" i="4" s="1"/>
  <c r="C5" i="3" s="1"/>
  <c r="I3" i="4" a="1"/>
  <c r="I3" i="4" s="1"/>
  <c r="C14" i="3"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8">
    <bk>
      <extLst>
        <ext uri="{3e2802c4-a4d2-4d8b-9148-e3be6c30e623}">
          <xlrd:rvb i="0"/>
        </ext>
      </extLst>
    </bk>
    <bk>
      <extLst>
        <ext uri="{3e2802c4-a4d2-4d8b-9148-e3be6c30e623}">
          <xlrd:rvb i="14"/>
        </ext>
      </extLst>
    </bk>
    <bk>
      <extLst>
        <ext uri="{3e2802c4-a4d2-4d8b-9148-e3be6c30e623}">
          <xlrd:rvb i="15"/>
        </ext>
      </extLst>
    </bk>
    <bk>
      <extLst>
        <ext uri="{3e2802c4-a4d2-4d8b-9148-e3be6c30e623}">
          <xlrd:rvb i="18"/>
        </ext>
      </extLst>
    </bk>
    <bk>
      <extLst>
        <ext uri="{3e2802c4-a4d2-4d8b-9148-e3be6c30e623}">
          <xlrd:rvb i="88"/>
        </ext>
      </extLst>
    </bk>
    <bk>
      <extLst>
        <ext uri="{3e2802c4-a4d2-4d8b-9148-e3be6c30e623}">
          <xlrd:rvb i="91"/>
        </ext>
      </extLst>
    </bk>
    <bk>
      <extLst>
        <ext uri="{3e2802c4-a4d2-4d8b-9148-e3be6c30e623}">
          <xlrd:rvb i="159"/>
        </ext>
      </extLst>
    </bk>
    <bk>
      <extLst>
        <ext uri="{3e2802c4-a4d2-4d8b-9148-e3be6c30e623}">
          <xlrd:rvb i="172"/>
        </ext>
      </extLst>
    </bk>
    <bk>
      <extLst>
        <ext uri="{3e2802c4-a4d2-4d8b-9148-e3be6c30e623}">
          <xlrd:rvb i="184"/>
        </ext>
      </extLst>
    </bk>
    <bk>
      <extLst>
        <ext uri="{3e2802c4-a4d2-4d8b-9148-e3be6c30e623}">
          <xlrd:rvb i="187"/>
        </ext>
      </extLst>
    </bk>
    <bk>
      <extLst>
        <ext uri="{3e2802c4-a4d2-4d8b-9148-e3be6c30e623}">
          <xlrd:rvb i="388"/>
        </ext>
      </extLst>
    </bk>
    <bk>
      <extLst>
        <ext uri="{3e2802c4-a4d2-4d8b-9148-e3be6c30e623}">
          <xlrd:rvb i="391"/>
        </ext>
      </extLst>
    </bk>
    <bk>
      <extLst>
        <ext uri="{3e2802c4-a4d2-4d8b-9148-e3be6c30e623}">
          <xlrd:rvb i="452"/>
        </ext>
      </extLst>
    </bk>
    <bk>
      <extLst>
        <ext uri="{3e2802c4-a4d2-4d8b-9148-e3be6c30e623}">
          <xlrd:rvb i="454"/>
        </ext>
      </extLst>
    </bk>
    <bk>
      <extLst>
        <ext uri="{3e2802c4-a4d2-4d8b-9148-e3be6c30e623}">
          <xlrd:rvb i="488"/>
        </ext>
      </extLst>
    </bk>
    <bk>
      <extLst>
        <ext uri="{3e2802c4-a4d2-4d8b-9148-e3be6c30e623}">
          <xlrd:rvb i="490"/>
        </ext>
      </extLst>
    </bk>
    <bk>
      <extLst>
        <ext uri="{3e2802c4-a4d2-4d8b-9148-e3be6c30e623}">
          <xlrd:rvb i="554"/>
        </ext>
      </extLst>
    </bk>
    <bk>
      <extLst>
        <ext uri="{3e2802c4-a4d2-4d8b-9148-e3be6c30e623}">
          <xlrd:rvb i="556"/>
        </ext>
      </extLst>
    </bk>
  </futureMetadata>
  <futureMetadata name="XLDAPR" count="1">
    <bk>
      <extLst>
        <ext uri="{bdbb8cdc-fa1e-496e-a857-3c3f30c029c3}">
          <xda:dynamicArrayProperties fDynamic="1" fCollapsed="0"/>
        </ext>
      </extLst>
    </bk>
  </futureMetadata>
  <cellMetadata count="1">
    <bk>
      <rc t="2" v="0"/>
    </bk>
  </cellMetadata>
  <valueMetadata count="18">
    <bk>
      <rc t="1" v="0"/>
    </bk>
    <bk>
      <rc t="1" v="1"/>
    </bk>
    <bk>
      <rc t="1" v="2"/>
    </bk>
    <bk>
      <rc t="1" v="3"/>
    </bk>
    <bk>
      <rc t="1" v="4"/>
    </bk>
    <bk>
      <rc t="1" v="5"/>
    </bk>
    <bk>
      <rc t="1" v="6"/>
    </bk>
    <bk>
      <rc t="1" v="7"/>
    </bk>
    <bk>
      <rc t="1" v="8"/>
    </bk>
    <bk>
      <rc t="1" v="9"/>
    </bk>
    <bk>
      <rc t="1" v="10"/>
    </bk>
    <bk>
      <rc t="1" v="11"/>
    </bk>
    <bk>
      <rc t="1" v="12"/>
    </bk>
    <bk>
      <rc t="1" v="13"/>
    </bk>
    <bk>
      <rc t="1" v="14"/>
    </bk>
    <bk>
      <rc t="1" v="15"/>
    </bk>
    <bk>
      <rc t="1" v="16"/>
    </bk>
    <bk>
      <rc t="1" v="17"/>
    </bk>
  </valueMetadata>
</metadata>
</file>

<file path=xl/sharedStrings.xml><?xml version="1.0" encoding="utf-8"?>
<sst xmlns="http://schemas.openxmlformats.org/spreadsheetml/2006/main" count="2139" uniqueCount="62">
  <si>
    <t>Order ID</t>
  </si>
  <si>
    <t>Date</t>
  </si>
  <si>
    <t>Product</t>
  </si>
  <si>
    <t>Price</t>
  </si>
  <si>
    <t>Quantity</t>
  </si>
  <si>
    <t>Purchase Type</t>
  </si>
  <si>
    <t>Payment Method</t>
  </si>
  <si>
    <t>Manager</t>
  </si>
  <si>
    <t>City</t>
  </si>
  <si>
    <t>Fries</t>
  </si>
  <si>
    <t xml:space="preserve">Online </t>
  </si>
  <si>
    <t xml:space="preserve"> Gift Card</t>
  </si>
  <si>
    <t>Beverages</t>
  </si>
  <si>
    <t>Sides &amp; Other</t>
  </si>
  <si>
    <t xml:space="preserve">In-store </t>
  </si>
  <si>
    <t>Burgers</t>
  </si>
  <si>
    <t xml:space="preserve"> Credit Card</t>
  </si>
  <si>
    <t>Walter Muller</t>
  </si>
  <si>
    <t>Chicken Sandwiches</t>
  </si>
  <si>
    <t>Remy Monet</t>
  </si>
  <si>
    <t>Pablo Perez</t>
  </si>
  <si>
    <t>Joao Silva</t>
  </si>
  <si>
    <t xml:space="preserve">Drive-thru </t>
  </si>
  <si>
    <t xml:space="preserve"> Cash</t>
  </si>
  <si>
    <t>Tom Jackson</t>
  </si>
  <si>
    <t>Data Analysis Questions</t>
  </si>
  <si>
    <t>1) What is our best selling product?</t>
  </si>
  <si>
    <t>2) What is our total revenue?</t>
  </si>
  <si>
    <t>3) What is the revenue breakdown by payment method?</t>
  </si>
  <si>
    <t>Select Manager -&gt;</t>
  </si>
  <si>
    <t>Geography</t>
  </si>
  <si>
    <t>Country</t>
  </si>
  <si>
    <t>Revenue</t>
  </si>
  <si>
    <t>Total</t>
  </si>
  <si>
    <t>Cost</t>
  </si>
  <si>
    <r>
      <t>Get 10%</t>
    </r>
    <r>
      <rPr>
        <b/>
        <sz val="16"/>
        <color theme="1"/>
        <rFont val="Calibri"/>
        <family val="2"/>
        <scheme val="minor"/>
      </rPr>
      <t xml:space="preserve"> OFF</t>
    </r>
    <r>
      <rPr>
        <sz val="16"/>
        <color theme="1"/>
        <rFont val="Calibri"/>
        <family val="2"/>
        <scheme val="minor"/>
      </rPr>
      <t xml:space="preserve"> our course using coupon code </t>
    </r>
    <r>
      <rPr>
        <b/>
        <sz val="16"/>
        <color theme="1"/>
        <rFont val="Calibri"/>
        <family val="2"/>
        <scheme val="minor"/>
      </rPr>
      <t>EMAIL10</t>
    </r>
  </si>
  <si>
    <t>Get Our Excel for Business &amp; Finance Course</t>
  </si>
  <si>
    <t>Made by Kenji Explains / Career Principles</t>
  </si>
  <si>
    <t>Note</t>
  </si>
  <si>
    <t>All content is copyright material of Kenji Explains / Career Principles</t>
  </si>
  <si>
    <t>This Excel model may not be reproduced or distributed by any means, including printing, 
screencapturing, or any other method without the prior permission of the publisher.</t>
  </si>
  <si>
    <t>Data Analysis Start File</t>
  </si>
  <si>
    <t>Manager2</t>
  </si>
  <si>
    <t>Country/region</t>
  </si>
  <si>
    <t>Mean</t>
  </si>
  <si>
    <t>Standard Error</t>
  </si>
  <si>
    <t>Median</t>
  </si>
  <si>
    <t>Mode</t>
  </si>
  <si>
    <t>Standard Deviation</t>
  </si>
  <si>
    <t>Sample Variance</t>
  </si>
  <si>
    <t>Kurtosis</t>
  </si>
  <si>
    <t>Skewness</t>
  </si>
  <si>
    <t>Range</t>
  </si>
  <si>
    <t>Minimum</t>
  </si>
  <si>
    <t>Maximum</t>
  </si>
  <si>
    <t>Sum</t>
  </si>
  <si>
    <t>Count</t>
  </si>
  <si>
    <t>Sum of Quantity</t>
  </si>
  <si>
    <t>Row Labels</t>
  </si>
  <si>
    <t>Grand Total</t>
  </si>
  <si>
    <t>Sum of Revenue</t>
  </si>
  <si>
    <t>Note: Transform &gt; Statistic &gt; Analytics &gt;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</si>
</sst>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_-[$$-409]* #,##0.00_ ;_-[$$-409]* \-#,##0.00\ ;_-[$$-409]* &quot;-&quot;??_ ;_-@_ "/>
    <numFmt numFmtId="166" formatCode="_-[$$-409]* #,##0_ ;_-[$$-409]* \-#,##0\ ;_-[$$-409]* &quot;-&quot;??_ ;_-@_ "/>
  </numFmts>
  <fonts count="18" x14ac:knownFonts="1">
    <font>
      <sz val="12"/>
      <color theme="1"/>
      <name val="Calibri"/>
      <family val="2"/>
      <scheme val="minor"/>
    </font>
    <font>
      <sz val="11"/>
      <color theme="1"/>
      <name val="Calibri"/>
      <family val="2"/>
      <scheme val="minor"/>
    </font>
    <font>
      <sz val="12"/>
      <color theme="1"/>
      <name val="Calibri"/>
      <family val="2"/>
      <scheme val="minor"/>
    </font>
    <font>
      <b/>
      <sz val="12"/>
      <color theme="0"/>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i/>
      <sz val="12"/>
      <color theme="1"/>
      <name val="Calibri"/>
      <family val="2"/>
      <scheme val="minor"/>
    </font>
    <font>
      <b/>
      <sz val="11"/>
      <color theme="1"/>
      <name val="Calibri"/>
      <family val="2"/>
      <scheme val="minor"/>
    </font>
    <font>
      <u/>
      <sz val="12"/>
      <color theme="10"/>
      <name val="Calibri"/>
      <family val="2"/>
      <scheme val="minor"/>
    </font>
    <font>
      <b/>
      <sz val="42"/>
      <color theme="1"/>
      <name val="Calibri"/>
      <family val="2"/>
      <scheme val="minor"/>
    </font>
    <font>
      <b/>
      <sz val="50"/>
      <color theme="1"/>
      <name val="Calibri"/>
      <family val="2"/>
      <scheme val="minor"/>
    </font>
    <font>
      <sz val="16"/>
      <color theme="1"/>
      <name val="Calibri"/>
      <family val="2"/>
      <scheme val="minor"/>
    </font>
    <font>
      <b/>
      <sz val="16"/>
      <color theme="1"/>
      <name val="Calibri"/>
      <family val="2"/>
      <scheme val="minor"/>
    </font>
    <font>
      <u/>
      <sz val="20"/>
      <color theme="10"/>
      <name val="Calibri"/>
      <family val="2"/>
      <scheme val="minor"/>
    </font>
    <font>
      <u/>
      <sz val="11"/>
      <color theme="10"/>
      <name val="Calibri"/>
      <family val="2"/>
      <scheme val="minor"/>
    </font>
    <font>
      <i/>
      <sz val="14"/>
      <color rgb="FF0432FF"/>
      <name val="Calibri"/>
      <family val="2"/>
      <scheme val="minor"/>
    </font>
    <font>
      <sz val="8"/>
      <name val="Calibri"/>
      <family val="2"/>
      <scheme val="minor"/>
    </font>
  </fonts>
  <fills count="6">
    <fill>
      <patternFill patternType="none"/>
    </fill>
    <fill>
      <patternFill patternType="gray125"/>
    </fill>
    <fill>
      <patternFill patternType="solid">
        <fgColor rgb="FF073673"/>
        <bgColor indexed="64"/>
      </patternFill>
    </fill>
    <fill>
      <patternFill patternType="solid">
        <fgColor theme="0" tint="-4.9989318521683403E-2"/>
        <bgColor indexed="64"/>
      </patternFill>
    </fill>
    <fill>
      <patternFill patternType="solid">
        <fgColor theme="4" tint="0.79998168889431442"/>
        <bgColor indexed="64"/>
      </patternFill>
    </fill>
    <fill>
      <patternFill patternType="solid">
        <fgColor theme="7" tint="0.7999816888943144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diagonal/>
    </border>
    <border>
      <left/>
      <right style="thin">
        <color theme="1"/>
      </right>
      <top/>
      <bottom/>
      <diagonal/>
    </border>
    <border>
      <left style="thin">
        <color theme="1"/>
      </left>
      <right style="thin">
        <color theme="1"/>
      </right>
      <top style="thin">
        <color theme="1"/>
      </top>
      <bottom style="thin">
        <color theme="1"/>
      </bottom>
      <diagonal/>
    </border>
    <border>
      <left/>
      <right/>
      <top/>
      <bottom style="thin">
        <color theme="1"/>
      </bottom>
      <diagonal/>
    </border>
    <border>
      <left style="thin">
        <color theme="1"/>
      </left>
      <right/>
      <top/>
      <bottom style="thin">
        <color theme="1"/>
      </bottom>
      <diagonal/>
    </border>
    <border>
      <left/>
      <right style="thin">
        <color theme="1"/>
      </right>
      <top/>
      <bottom style="thin">
        <color theme="1"/>
      </bottom>
      <diagonal/>
    </border>
    <border>
      <left/>
      <right/>
      <top/>
      <bottom style="medium">
        <color indexed="64"/>
      </bottom>
      <diagonal/>
    </border>
    <border>
      <left/>
      <right/>
      <top style="medium">
        <color indexed="64"/>
      </top>
      <bottom style="thin">
        <color indexed="64"/>
      </bottom>
      <diagonal/>
    </border>
  </borders>
  <cellStyleXfs count="5">
    <xf numFmtId="0" fontId="0" fillId="0" borderId="0"/>
    <xf numFmtId="164" fontId="2" fillId="0" borderId="0" applyFont="0" applyFill="0" applyBorder="0" applyAlignment="0" applyProtection="0"/>
    <xf numFmtId="0" fontId="9" fillId="0" borderId="0" applyNumberFormat="0" applyFill="0" applyBorder="0" applyAlignment="0" applyProtection="0"/>
    <xf numFmtId="0" fontId="1" fillId="0" borderId="0"/>
    <xf numFmtId="0" fontId="15" fillId="0" borderId="0" applyNumberFormat="0" applyFill="0" applyBorder="0" applyAlignment="0" applyProtection="0"/>
  </cellStyleXfs>
  <cellXfs count="50">
    <xf numFmtId="0" fontId="0" fillId="0" borderId="0" xfId="0"/>
    <xf numFmtId="0" fontId="3" fillId="2" borderId="0" xfId="0" applyFont="1" applyFill="1" applyAlignment="1">
      <alignment horizontal="center" vertical="center"/>
    </xf>
    <xf numFmtId="0" fontId="3" fillId="2" borderId="0" xfId="0" applyFont="1" applyFill="1" applyAlignment="1">
      <alignment horizontal="center" vertical="center" wrapText="1"/>
    </xf>
    <xf numFmtId="0" fontId="0" fillId="0" borderId="0" xfId="0" applyAlignment="1">
      <alignment horizontal="center"/>
    </xf>
    <xf numFmtId="14" fontId="0" fillId="0" borderId="0" xfId="0" applyNumberFormat="1" applyAlignment="1">
      <alignment horizontal="left"/>
    </xf>
    <xf numFmtId="0" fontId="6" fillId="0" borderId="0" xfId="0" applyFont="1"/>
    <xf numFmtId="0" fontId="3" fillId="2" borderId="0" xfId="0" applyFont="1" applyFill="1" applyAlignment="1">
      <alignment horizontal="left" indent="1"/>
    </xf>
    <xf numFmtId="0" fontId="4" fillId="3" borderId="0" xfId="0" applyFont="1" applyFill="1" applyAlignment="1">
      <alignment horizontal="left" indent="1"/>
    </xf>
    <xf numFmtId="0" fontId="4" fillId="3" borderId="0" xfId="0" applyFont="1" applyFill="1"/>
    <xf numFmtId="0" fontId="0" fillId="0" borderId="0" xfId="0" applyAlignment="1">
      <alignment horizontal="left" indent="1"/>
    </xf>
    <xf numFmtId="0" fontId="4" fillId="0" borderId="0" xfId="0" applyFont="1"/>
    <xf numFmtId="0" fontId="7" fillId="0" borderId="0" xfId="0" applyFont="1"/>
    <xf numFmtId="0" fontId="4" fillId="3" borderId="1" xfId="0" applyFont="1" applyFill="1" applyBorder="1" applyAlignment="1">
      <alignment horizontal="center"/>
    </xf>
    <xf numFmtId="165" fontId="0" fillId="0" borderId="0" xfId="1" applyNumberFormat="1" applyFont="1" applyAlignment="1">
      <alignment horizontal="center"/>
    </xf>
    <xf numFmtId="0" fontId="0" fillId="0" borderId="0" xfId="0" applyAlignment="1">
      <alignment horizontal="left"/>
    </xf>
    <xf numFmtId="166" fontId="0" fillId="0" borderId="0" xfId="0" applyNumberFormat="1"/>
    <xf numFmtId="0" fontId="4" fillId="0" borderId="2" xfId="0" applyFont="1" applyBorder="1" applyAlignment="1">
      <alignment horizontal="left"/>
    </xf>
    <xf numFmtId="166" fontId="4" fillId="0" borderId="2" xfId="0" applyNumberFormat="1" applyFont="1" applyBorder="1"/>
    <xf numFmtId="0" fontId="5" fillId="0" borderId="0" xfId="0" applyFont="1"/>
    <xf numFmtId="1" fontId="0" fillId="0" borderId="0" xfId="0" applyNumberFormat="1" applyAlignment="1">
      <alignment horizontal="center"/>
    </xf>
    <xf numFmtId="0" fontId="1" fillId="0" borderId="3" xfId="3" applyBorder="1"/>
    <xf numFmtId="0" fontId="10" fillId="0" borderId="4" xfId="3" applyFont="1" applyBorder="1" applyAlignment="1">
      <alignment horizontal="center" vertical="center"/>
    </xf>
    <xf numFmtId="0" fontId="1" fillId="0" borderId="5" xfId="3" applyBorder="1"/>
    <xf numFmtId="0" fontId="1" fillId="4" borderId="0" xfId="3" applyFill="1"/>
    <xf numFmtId="0" fontId="1" fillId="0" borderId="6" xfId="3" applyBorder="1"/>
    <xf numFmtId="0" fontId="11" fillId="0" borderId="0" xfId="3" applyFont="1" applyAlignment="1">
      <alignment horizontal="center" vertical="center"/>
    </xf>
    <xf numFmtId="0" fontId="1" fillId="0" borderId="7" xfId="3" applyBorder="1"/>
    <xf numFmtId="0" fontId="1" fillId="0" borderId="0" xfId="3"/>
    <xf numFmtId="0" fontId="2" fillId="0" borderId="6" xfId="3" applyFont="1" applyBorder="1"/>
    <xf numFmtId="0" fontId="12" fillId="0" borderId="0" xfId="3" applyFont="1" applyAlignment="1">
      <alignment horizontal="center"/>
    </xf>
    <xf numFmtId="0" fontId="2" fillId="0" borderId="7" xfId="3" applyFont="1" applyBorder="1"/>
    <xf numFmtId="0" fontId="2" fillId="4" borderId="0" xfId="3" applyFont="1" applyFill="1"/>
    <xf numFmtId="0" fontId="12" fillId="0" borderId="0" xfId="3" applyFont="1"/>
    <xf numFmtId="0" fontId="1" fillId="0" borderId="6" xfId="3" applyBorder="1" applyAlignment="1">
      <alignment vertical="center"/>
    </xf>
    <xf numFmtId="0" fontId="14" fillId="5" borderId="8" xfId="2" applyFont="1" applyFill="1" applyBorder="1" applyAlignment="1">
      <alignment horizontal="center" vertical="center"/>
    </xf>
    <xf numFmtId="0" fontId="1" fillId="0" borderId="7" xfId="3" applyBorder="1" applyAlignment="1">
      <alignment vertical="center"/>
    </xf>
    <xf numFmtId="0" fontId="1" fillId="4" borderId="0" xfId="3" applyFill="1" applyAlignment="1">
      <alignment vertical="center"/>
    </xf>
    <xf numFmtId="0" fontId="16" fillId="0" borderId="0" xfId="4" applyFont="1" applyFill="1" applyBorder="1"/>
    <xf numFmtId="0" fontId="8" fillId="0" borderId="9" xfId="3" applyFont="1" applyBorder="1"/>
    <xf numFmtId="0" fontId="1" fillId="0" borderId="0" xfId="3" applyAlignment="1">
      <alignment vertical="top" wrapText="1"/>
    </xf>
    <xf numFmtId="0" fontId="1" fillId="0" borderId="10" xfId="3" applyBorder="1"/>
    <xf numFmtId="0" fontId="1" fillId="0" borderId="9" xfId="3" applyBorder="1"/>
    <xf numFmtId="0" fontId="1" fillId="0" borderId="11" xfId="3" applyBorder="1"/>
    <xf numFmtId="0" fontId="3" fillId="2" borderId="0" xfId="0" applyFont="1" applyFill="1" applyAlignment="1">
      <alignment horizontal="center"/>
    </xf>
    <xf numFmtId="0" fontId="0" fillId="0" borderId="0" xfId="0" applyFill="1" applyBorder="1" applyAlignment="1"/>
    <xf numFmtId="0" fontId="0" fillId="0" borderId="12" xfId="0" applyFill="1" applyBorder="1" applyAlignment="1"/>
    <xf numFmtId="0" fontId="7" fillId="0" borderId="13" xfId="0" applyFont="1" applyFill="1" applyBorder="1" applyAlignment="1">
      <alignment horizontal="centerContinuous"/>
    </xf>
    <xf numFmtId="0" fontId="0" fillId="0" borderId="0" xfId="0" applyNumberFormat="1"/>
    <xf numFmtId="0" fontId="0" fillId="0" borderId="0" xfId="0" pivotButton="1"/>
    <xf numFmtId="10" fontId="0" fillId="0" borderId="0" xfId="0" applyNumberFormat="1"/>
  </cellXfs>
  <cellStyles count="5">
    <cellStyle name="Comma" xfId="1" builtinId="3"/>
    <cellStyle name="Hyperlink" xfId="2" builtinId="8"/>
    <cellStyle name="Hyperlink 2 2" xfId="4" xr:uid="{F249171E-1D60-42F4-A03F-480C913218A3}"/>
    <cellStyle name="Normal" xfId="0" builtinId="0"/>
    <cellStyle name="Normal 2" xfId="3" xr:uid="{0CD8B2A8-DB45-4C19-8BF1-7AC1BB4A4279}"/>
  </cellStyles>
  <dxfs count="16">
    <dxf>
      <numFmt numFmtId="0" formatCode="General"/>
    </dxf>
    <dxf>
      <numFmt numFmtId="0" formatCode="General"/>
    </dxf>
    <dxf>
      <numFmt numFmtId="0" formatCode="Genera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073673"/>
        </patternFill>
      </fill>
      <alignment horizontal="center" vertical="center" textRotation="0" wrapText="0" indent="0" justifyLastLine="0" shrinkToFit="0" readingOrder="0"/>
    </dxf>
    <dxf>
      <numFmt numFmtId="0" formatCode="General"/>
    </dxf>
    <dxf>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numFmt numFmtId="167" formatCode="d/m/yy"/>
      <alignment horizontal="left"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073673"/>
        </patternFill>
      </fill>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Structure" Target="richData/rdrichvaluestructur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 Target="richData/rdrichvalue.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20/07/relationships/rdRichValueWebImage" Target="richData/rdRichValueWebImage.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heetMetadata" Target="metadata.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Array" Target="richData/rdarray.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val">
        <cx:f>_xlchart.v1.1</cx:f>
      </cx:numDim>
    </cx:data>
  </cx:chartData>
  <cx:chart>
    <cx:title pos="t" align="ctr" overlay="0">
      <cx:tx>
        <cx:txData>
          <cx:v>Price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Price</a:t>
          </a:r>
        </a:p>
      </cx:txPr>
    </cx:title>
    <cx:plotArea>
      <cx:plotAreaRegion>
        <cx:series layoutId="boxWhisker" uniqueId="{00000000-45E0-4AC9-B465-9BC8F2CC1658}">
          <cx:tx>
            <cx:txData>
              <cx:f>_xlchart.v1.0</cx:f>
              <cx:v>Price</cx:v>
            </cx:txData>
          </cx:tx>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oneCellAnchor>
    <xdr:from>
      <xdr:col>2</xdr:col>
      <xdr:colOff>2434775</xdr:colOff>
      <xdr:row>4</xdr:row>
      <xdr:rowOff>190501</xdr:rowOff>
    </xdr:from>
    <xdr:ext cx="3050985" cy="865353"/>
    <xdr:pic>
      <xdr:nvPicPr>
        <xdr:cNvPr id="2" name="Picture 1">
          <a:extLst>
            <a:ext uri="{FF2B5EF4-FFF2-40B4-BE49-F238E27FC236}">
              <a16:creationId xmlns:a16="http://schemas.microsoft.com/office/drawing/2014/main" id="{345082DF-DF01-465A-BF9F-D6B142866F58}"/>
            </a:ext>
          </a:extLst>
        </xdr:cNvPr>
        <xdr:cNvPicPr>
          <a:picLocks noChangeAspect="1"/>
        </xdr:cNvPicPr>
      </xdr:nvPicPr>
      <xdr:blipFill>
        <a:blip xmlns:r="http://schemas.openxmlformats.org/officeDocument/2006/relationships" r:embed="rId1"/>
        <a:stretch>
          <a:fillRect/>
        </a:stretch>
      </xdr:blipFill>
      <xdr:spPr>
        <a:xfrm>
          <a:off x="3717475" y="1428751"/>
          <a:ext cx="3050985" cy="865353"/>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13</xdr:col>
      <xdr:colOff>0</xdr:colOff>
      <xdr:row>20</xdr:row>
      <xdr:rowOff>0</xdr:rowOff>
    </xdr:from>
    <xdr:to>
      <xdr:col>18</xdr:col>
      <xdr:colOff>495300</xdr:colOff>
      <xdr:row>33</xdr:row>
      <xdr:rowOff>167640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4B762286-21C5-46CE-9EF3-F2CA7D4787A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9052560" y="3977640"/>
              <a:ext cx="4572000" cy="2743200"/>
            </a:xfrm>
            <a:prstGeom prst="rect">
              <a:avLst/>
            </a:prstGeom>
            <a:solidFill>
              <a:prstClr val="white"/>
            </a:solidFill>
            <a:ln w="1">
              <a:solidFill>
                <a:prstClr val="green"/>
              </a:solidFill>
            </a:ln>
          </xdr:spPr>
          <xdr:txBody>
            <a:bodyPr vertOverflow="clip" horzOverflow="clip"/>
            <a:lstStyle/>
            <a:p>
              <a:r>
                <a:rPr lang="en-MY"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richPivotRecords" Target="richPivot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invalid="1" refreshedBy="HUAWEI" refreshedDate="46293.697004629626" createdVersion="8" refreshedVersion="8" minRefreshableVersion="3" recordCount="257" xr:uid="{2A7C1DE2-D38B-4235-8C6C-893B96DEA324}">
  <cacheSource type="worksheet">
    <worksheetSource name="Table2"/>
  </cacheSource>
  <cacheFields count="11">
    <cacheField name="Order ID" numFmtId="0">
      <sharedItems containsSemiMixedTypes="0" containsString="0" containsNumber="1" containsInteger="1" minValue="10452" maxValue="10713"/>
    </cacheField>
    <cacheField name="Date" numFmtId="14">
      <sharedItems containsSemiMixedTypes="0" containsNonDate="0" containsDate="1" containsString="0" minDate="2022-11-07T00:00:00" maxDate="2022-12-30T00:00:00"/>
    </cacheField>
    <cacheField name="Product" numFmtId="0">
      <sharedItems count="5">
        <s v="Fries"/>
        <s v="Beverages"/>
        <s v="Sides &amp; Other"/>
        <s v="Burgers"/>
        <s v="Chicken Sandwiches"/>
      </sharedItems>
    </cacheField>
    <cacheField name="Price" numFmtId="0">
      <sharedItems containsSemiMixedTypes="0" containsString="0" containsNumber="1" minValue="2.95" maxValue="33.22"/>
    </cacheField>
    <cacheField name="Purchase Type" numFmtId="0">
      <sharedItems/>
    </cacheField>
    <cacheField name="Payment Method" numFmtId="0">
      <sharedItems count="3">
        <s v=" Gift Card"/>
        <s v=" Credit Card"/>
        <s v=" Cash"/>
      </sharedItems>
    </cacheField>
    <cacheField name="Manager2" numFmtId="0">
      <sharedItems/>
    </cacheField>
    <cacheField name="Quantity" numFmtId="0">
      <sharedItems containsSemiMixedTypes="0" containsString="0" containsNumber="1" containsInteger="1" minValue="201" maxValue="755"/>
    </cacheField>
    <cacheField name="City" numFmtId="0">
      <sharedItems/>
    </cacheField>
    <cacheField name="Country/region" numFmtId="0">
      <sharedItems/>
    </cacheField>
    <cacheField name="Revenue" numFmtId="0">
      <sharedItems containsSemiMixedTypes="0" containsString="0" containsNumber="1" minValue="1002.99" maxValue="22523.16"/>
    </cacheField>
  </cacheFields>
  <extLst>
    <ext xmlns:x14="http://schemas.microsoft.com/office/spreadsheetml/2009/9/main" uri="{725AE2AE-9491-48be-B2B4-4EB974FC3084}">
      <x14:pivotCacheDefinition/>
    </ext>
    <ext xmlns:xxpvi="http://schemas.microsoft.com/office/spreadsheetml/2022/pivotVersionInfo" uri="{9F748A41-CAEA-4470-BF7A-CE61E8FFA7F9}">
      <xxpvi:cacheVersionInfo>
        <xxpvi:lastRefreshFeature>RichData</xxpvi:lastRefreshFeature>
      </xxpvi:cacheVersionInfo>
    </ext>
    <ext xmlns:xprd="http://schemas.microsoft.com/office/spreadsheetml/2022/pivotRichData" uri="{2C874A73-7782-4A18-856F-96AC7E287872}">
      <xprd:richInfo pivotCacheGuid="{2A7C1DE2-D38B-4235-8C6C-893B96DEA324}" pivotIgnoreInvalidCache="1" r:id="rId1"/>
    </ext>
  </extLst>
</pivotCacheDefinition>
</file>

<file path=xl/pivotCache/richPivot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7">
  <r>
    <n v="10452"/>
    <d v="2022-11-07T00:00:00"/>
    <x v="0"/>
    <n v="3.49"/>
    <s v="Online "/>
    <x v="0"/>
    <s v="Tom Jackson"/>
    <n v="574"/>
    <s v="London"/>
    <s v="#CONNECT!"/>
    <n v="2003.2600000000002"/>
  </r>
  <r>
    <n v="10453"/>
    <d v="2022-11-07T00:00:00"/>
    <x v="1"/>
    <n v="2.95"/>
    <s v="Online "/>
    <x v="0"/>
    <s v="Pablo Perez"/>
    <n v="746"/>
    <s v="Madrid"/>
    <s v="Spain"/>
    <n v="2200.7000000000003"/>
  </r>
  <r>
    <n v="10454"/>
    <d v="2022-11-07T00:00:00"/>
    <x v="2"/>
    <n v="4.99"/>
    <s v="In-store "/>
    <x v="0"/>
    <s v="Joao Silva"/>
    <n v="201"/>
    <s v="Lisbon"/>
    <s v="Portugal"/>
    <n v="1002.99"/>
  </r>
  <r>
    <n v="10455"/>
    <d v="2022-11-08T00:00:00"/>
    <x v="3"/>
    <n v="12.99"/>
    <s v="In-store "/>
    <x v="1"/>
    <s v="Walter Muller"/>
    <n v="570"/>
    <s v="Berlin"/>
    <s v="#CONNECT!"/>
    <n v="7404.3"/>
  </r>
  <r>
    <n v="10456"/>
    <d v="2022-11-08T00:00:00"/>
    <x v="4"/>
    <n v="9.9499999999999993"/>
    <s v="In-store "/>
    <x v="1"/>
    <s v="Walter Muller"/>
    <n v="202"/>
    <s v="Berlin"/>
    <s v="#CONNECT!"/>
    <n v="2009.8999999999999"/>
  </r>
  <r>
    <n v="10457"/>
    <d v="2022-11-08T00:00:00"/>
    <x v="0"/>
    <n v="3.49"/>
    <s v="In-store "/>
    <x v="1"/>
    <s v="Remy Monet"/>
    <n v="574"/>
    <s v="Paris"/>
    <s v="#CONNECT!"/>
    <n v="2003.2600000000002"/>
  </r>
  <r>
    <n v="10459"/>
    <d v="2022-11-08T00:00:00"/>
    <x v="2"/>
    <n v="4.99"/>
    <s v="In-store "/>
    <x v="1"/>
    <s v="Walter Muller"/>
    <n v="201"/>
    <s v="Berlin"/>
    <s v="#CONNECT!"/>
    <n v="1002.99"/>
  </r>
  <r>
    <n v="10460"/>
    <d v="2022-11-09T00:00:00"/>
    <x v="3"/>
    <n v="12.99"/>
    <s v="In-store "/>
    <x v="1"/>
    <s v="Remy Monet"/>
    <n v="555"/>
    <s v="Paris"/>
    <s v="#CONNECT!"/>
    <n v="7209.45"/>
  </r>
  <r>
    <n v="10461"/>
    <d v="2022-11-09T00:00:00"/>
    <x v="4"/>
    <n v="9.9499999999999993"/>
    <s v="In-store "/>
    <x v="1"/>
    <s v="Remy Monet"/>
    <n v="202"/>
    <s v="Paris"/>
    <s v="#CONNECT!"/>
    <n v="2009.8999999999999"/>
  </r>
  <r>
    <n v="10462"/>
    <d v="2022-11-09T00:00:00"/>
    <x v="0"/>
    <n v="3.49"/>
    <s v="In-store "/>
    <x v="1"/>
    <s v="Remy Monet"/>
    <n v="574"/>
    <s v="Paris"/>
    <s v="#CONNECT!"/>
    <n v="2003.2600000000002"/>
  </r>
  <r>
    <n v="10463"/>
    <d v="2022-11-09T00:00:00"/>
    <x v="1"/>
    <n v="2.95"/>
    <s v="In-store "/>
    <x v="1"/>
    <s v="Remy Monet"/>
    <n v="678"/>
    <s v="Paris"/>
    <s v="#CONNECT!"/>
    <n v="2000.1000000000001"/>
  </r>
  <r>
    <n v="10464"/>
    <d v="2022-11-09T00:00:00"/>
    <x v="2"/>
    <n v="4.99"/>
    <s v="In-store "/>
    <x v="1"/>
    <s v="Remy Monet"/>
    <n v="201"/>
    <s v="Paris"/>
    <s v="#CONNECT!"/>
    <n v="1002.99"/>
  </r>
  <r>
    <n v="10465"/>
    <d v="2022-11-10T00:00:00"/>
    <x v="3"/>
    <n v="12.99"/>
    <s v="In-store "/>
    <x v="1"/>
    <s v="Pablo Perez"/>
    <n v="555"/>
    <s v="Madrid"/>
    <s v="Spain"/>
    <n v="7209.45"/>
  </r>
  <r>
    <n v="10466"/>
    <d v="2022-11-10T00:00:00"/>
    <x v="4"/>
    <n v="9.9499999999999993"/>
    <s v="In-store "/>
    <x v="1"/>
    <s v="Pablo Perez"/>
    <n v="202"/>
    <s v="Madrid"/>
    <s v="Spain"/>
    <n v="2009.8999999999999"/>
  </r>
  <r>
    <n v="10467"/>
    <d v="2022-11-10T00:00:00"/>
    <x v="0"/>
    <n v="3.49"/>
    <s v="In-store "/>
    <x v="1"/>
    <s v="Pablo Perez"/>
    <n v="574"/>
    <s v="Madrid"/>
    <s v="Spain"/>
    <n v="2003.2600000000002"/>
  </r>
  <r>
    <n v="10468"/>
    <d v="2022-11-10T00:00:00"/>
    <x v="1"/>
    <n v="2.95"/>
    <s v="In-store "/>
    <x v="1"/>
    <s v="Pablo Perez"/>
    <n v="678"/>
    <s v="Madrid"/>
    <s v="Spain"/>
    <n v="2000.1000000000001"/>
  </r>
  <r>
    <n v="10470"/>
    <d v="2022-11-11T00:00:00"/>
    <x v="3"/>
    <n v="12.99"/>
    <s v="In-store "/>
    <x v="1"/>
    <s v="Pablo Perez"/>
    <n v="555"/>
    <s v="Madrid"/>
    <s v="Spain"/>
    <n v="7209.45"/>
  </r>
  <r>
    <n v="10471"/>
    <d v="2022-11-11T00:00:00"/>
    <x v="4"/>
    <n v="9.9499999999999993"/>
    <s v="In-store "/>
    <x v="1"/>
    <s v="Pablo Perez"/>
    <n v="202"/>
    <s v="Madrid"/>
    <s v="Spain"/>
    <n v="2009.8999999999999"/>
  </r>
  <r>
    <n v="10472"/>
    <d v="2022-11-11T00:00:00"/>
    <x v="0"/>
    <n v="3.49"/>
    <s v="In-store "/>
    <x v="1"/>
    <s v="Pablo Perez"/>
    <n v="631"/>
    <s v="Madrid"/>
    <s v="Spain"/>
    <n v="2202.19"/>
  </r>
  <r>
    <n v="10473"/>
    <d v="2022-11-11T00:00:00"/>
    <x v="1"/>
    <n v="2.95"/>
    <s v="In-store "/>
    <x v="1"/>
    <s v="Pablo Perez"/>
    <n v="678"/>
    <s v="Madrid"/>
    <s v="Spain"/>
    <n v="2000.1000000000001"/>
  </r>
  <r>
    <n v="10474"/>
    <d v="2022-11-11T00:00:00"/>
    <x v="2"/>
    <n v="4.99"/>
    <s v="In-store "/>
    <x v="1"/>
    <s v="Pablo Perez"/>
    <n v="201"/>
    <s v="Madrid"/>
    <s v="Spain"/>
    <n v="1002.99"/>
  </r>
  <r>
    <n v="10475"/>
    <d v="2022-11-12T00:00:00"/>
    <x v="3"/>
    <n v="12.99"/>
    <s v="In-store "/>
    <x v="1"/>
    <s v="Pablo Perez"/>
    <n v="524"/>
    <s v="Madrid"/>
    <s v="Spain"/>
    <n v="6806.76"/>
  </r>
  <r>
    <n v="10476"/>
    <d v="2022-11-12T00:00:00"/>
    <x v="4"/>
    <n v="9.9499999999999993"/>
    <s v="In-store "/>
    <x v="1"/>
    <s v="Pablo Perez"/>
    <n v="202"/>
    <s v="Madrid"/>
    <s v="Spain"/>
    <n v="2009.8999999999999"/>
  </r>
  <r>
    <n v="10477"/>
    <d v="2022-11-12T00:00:00"/>
    <x v="0"/>
    <n v="3.49"/>
    <s v="In-store "/>
    <x v="1"/>
    <s v="Pablo Perez"/>
    <n v="631"/>
    <s v="Madrid"/>
    <s v="Spain"/>
    <n v="2202.19"/>
  </r>
  <r>
    <n v="10478"/>
    <d v="2022-11-12T00:00:00"/>
    <x v="1"/>
    <n v="2.95"/>
    <s v="In-store "/>
    <x v="1"/>
    <s v="Pablo Perez"/>
    <n v="678"/>
    <s v="Madrid"/>
    <s v="Spain"/>
    <n v="2000.1000000000001"/>
  </r>
  <r>
    <n v="10479"/>
    <d v="2022-11-12T00:00:00"/>
    <x v="2"/>
    <n v="4.99"/>
    <s v="In-store "/>
    <x v="1"/>
    <s v="Pablo Perez"/>
    <n v="201"/>
    <s v="Madrid"/>
    <s v="Spain"/>
    <n v="1002.99"/>
  </r>
  <r>
    <n v="10480"/>
    <d v="2022-11-13T00:00:00"/>
    <x v="3"/>
    <n v="12.99"/>
    <s v="In-store "/>
    <x v="1"/>
    <s v="Pablo Perez"/>
    <n v="509"/>
    <s v="Madrid"/>
    <s v="Spain"/>
    <n v="6611.91"/>
  </r>
  <r>
    <n v="10481"/>
    <d v="2022-11-13T00:00:00"/>
    <x v="4"/>
    <n v="9.9499999999999993"/>
    <s v="In-store "/>
    <x v="1"/>
    <s v="Pablo Perez"/>
    <n v="202"/>
    <s v="Madrid"/>
    <s v="Spain"/>
    <n v="2009.8999999999999"/>
  </r>
  <r>
    <n v="10482"/>
    <d v="2022-11-13T00:00:00"/>
    <x v="0"/>
    <n v="25.5"/>
    <s v="In-store "/>
    <x v="1"/>
    <s v="Joao Silva"/>
    <n v="631"/>
    <s v="Lisbon"/>
    <s v="Portugal"/>
    <n v="16090.5"/>
  </r>
  <r>
    <n v="10483"/>
    <d v="2022-11-13T00:00:00"/>
    <x v="1"/>
    <n v="33.22"/>
    <s v="In-store "/>
    <x v="1"/>
    <s v="Joao Silva"/>
    <n v="678"/>
    <s v="Lisbon"/>
    <s v="Portugal"/>
    <n v="22523.16"/>
  </r>
  <r>
    <n v="10484"/>
    <d v="2022-11-13T00:00:00"/>
    <x v="2"/>
    <n v="21.44"/>
    <s v="In-store "/>
    <x v="1"/>
    <s v="Joao Silva"/>
    <n v="201"/>
    <s v="Lisbon"/>
    <s v="Portugal"/>
    <n v="4309.4400000000005"/>
  </r>
  <r>
    <n v="10485"/>
    <d v="2022-11-14T00:00:00"/>
    <x v="3"/>
    <n v="27.99"/>
    <s v="In-store "/>
    <x v="1"/>
    <s v="Joao Silva"/>
    <n v="524"/>
    <s v="Lisbon"/>
    <s v="Portugal"/>
    <n v="14666.759999999998"/>
  </r>
  <r>
    <n v="10486"/>
    <d v="2022-11-14T00:00:00"/>
    <x v="4"/>
    <n v="29.05"/>
    <s v="In-store "/>
    <x v="1"/>
    <s v="Joao Silva"/>
    <n v="202"/>
    <s v="Lisbon"/>
    <s v="Portugal"/>
    <n v="5868.1"/>
  </r>
  <r>
    <n v="10487"/>
    <d v="2022-11-14T00:00:00"/>
    <x v="0"/>
    <n v="3.49"/>
    <s v="In-store "/>
    <x v="1"/>
    <s v="Joao Silva"/>
    <n v="631"/>
    <s v="Lisbon"/>
    <s v="Portugal"/>
    <n v="2202.19"/>
  </r>
  <r>
    <n v="10488"/>
    <d v="2022-11-14T00:00:00"/>
    <x v="1"/>
    <n v="2.95"/>
    <s v="In-store "/>
    <x v="1"/>
    <s v="Joao Silva"/>
    <n v="678"/>
    <s v="Lisbon"/>
    <s v="Portugal"/>
    <n v="2000.1000000000001"/>
  </r>
  <r>
    <n v="10489"/>
    <d v="2022-11-14T00:00:00"/>
    <x v="2"/>
    <n v="4.99"/>
    <s v="In-store "/>
    <x v="1"/>
    <s v="Pablo Perez"/>
    <n v="201"/>
    <s v="Madrid"/>
    <s v="Spain"/>
    <n v="1002.99"/>
  </r>
  <r>
    <n v="10490"/>
    <d v="2022-11-15T00:00:00"/>
    <x v="3"/>
    <n v="12.99"/>
    <s v="In-store "/>
    <x v="1"/>
    <s v="Pablo Perez"/>
    <n v="509"/>
    <s v="Madrid"/>
    <s v="Spain"/>
    <n v="6611.91"/>
  </r>
  <r>
    <n v="10491"/>
    <d v="2022-11-15T00:00:00"/>
    <x v="4"/>
    <n v="9.9499999999999993"/>
    <s v="In-store "/>
    <x v="1"/>
    <s v="Pablo Perez"/>
    <n v="202"/>
    <s v="Madrid"/>
    <s v="Spain"/>
    <n v="2009.8999999999999"/>
  </r>
  <r>
    <n v="10492"/>
    <d v="2022-11-15T00:00:00"/>
    <x v="0"/>
    <n v="3.49"/>
    <s v="In-store "/>
    <x v="1"/>
    <s v="Pablo Perez"/>
    <n v="574"/>
    <s v="Madrid"/>
    <s v="Spain"/>
    <n v="2003.2600000000002"/>
  </r>
  <r>
    <n v="10493"/>
    <d v="2022-11-15T00:00:00"/>
    <x v="1"/>
    <n v="2.95"/>
    <s v="In-store "/>
    <x v="1"/>
    <s v="Pablo Perez"/>
    <n v="678"/>
    <s v="Madrid"/>
    <s v="Spain"/>
    <n v="2000.1000000000001"/>
  </r>
  <r>
    <n v="10494"/>
    <d v="2022-11-15T00:00:00"/>
    <x v="2"/>
    <n v="4.99"/>
    <s v="In-store "/>
    <x v="1"/>
    <s v="Pablo Perez"/>
    <n v="201"/>
    <s v="Madrid"/>
    <s v="Spain"/>
    <n v="1002.99"/>
  </r>
  <r>
    <n v="10495"/>
    <d v="2022-11-16T00:00:00"/>
    <x v="3"/>
    <n v="12.99"/>
    <s v="In-store "/>
    <x v="1"/>
    <s v="Pablo Perez"/>
    <n v="509"/>
    <s v="Madrid"/>
    <s v="Spain"/>
    <n v="6611.91"/>
  </r>
  <r>
    <n v="10496"/>
    <d v="2022-11-16T00:00:00"/>
    <x v="4"/>
    <n v="9.9499999999999993"/>
    <s v="In-store "/>
    <x v="1"/>
    <s v="Pablo Perez"/>
    <n v="202"/>
    <s v="Madrid"/>
    <s v="Spain"/>
    <n v="2009.8999999999999"/>
  </r>
  <r>
    <n v="10497"/>
    <d v="2022-11-16T00:00:00"/>
    <x v="0"/>
    <n v="3.49"/>
    <s v="In-store "/>
    <x v="1"/>
    <s v="Pablo Perez"/>
    <n v="574"/>
    <s v="Madrid"/>
    <s v="Spain"/>
    <n v="2003.2600000000002"/>
  </r>
  <r>
    <n v="10498"/>
    <d v="2022-11-16T00:00:00"/>
    <x v="1"/>
    <n v="2.95"/>
    <s v="Drive-thru "/>
    <x v="1"/>
    <s v="Pablo Perez"/>
    <n v="678"/>
    <s v="Madrid"/>
    <s v="Spain"/>
    <n v="2000.1000000000001"/>
  </r>
  <r>
    <n v="10499"/>
    <d v="2022-11-16T00:00:00"/>
    <x v="2"/>
    <n v="4.99"/>
    <s v="Drive-thru "/>
    <x v="1"/>
    <s v="Pablo Perez"/>
    <n v="201"/>
    <s v="Madrid"/>
    <s v="Spain"/>
    <n v="1002.99"/>
  </r>
  <r>
    <n v="10500"/>
    <d v="2022-11-17T00:00:00"/>
    <x v="3"/>
    <n v="12.99"/>
    <s v="Drive-thru "/>
    <x v="1"/>
    <s v="Pablo Perez"/>
    <n v="524"/>
    <s v="Madrid"/>
    <s v="Spain"/>
    <n v="6806.76"/>
  </r>
  <r>
    <n v="10501"/>
    <d v="2022-11-17T00:00:00"/>
    <x v="4"/>
    <n v="9.9499999999999993"/>
    <s v="Drive-thru "/>
    <x v="1"/>
    <s v="Pablo Perez"/>
    <n v="202"/>
    <s v="Madrid"/>
    <s v="Spain"/>
    <n v="2009.8999999999999"/>
  </r>
  <r>
    <n v="10502"/>
    <d v="2022-11-17T00:00:00"/>
    <x v="0"/>
    <n v="3.49"/>
    <s v="Drive-thru "/>
    <x v="1"/>
    <s v="Pablo Perez"/>
    <n v="631"/>
    <s v="Madrid"/>
    <s v="Spain"/>
    <n v="2202.19"/>
  </r>
  <r>
    <n v="10503"/>
    <d v="2022-11-17T00:00:00"/>
    <x v="1"/>
    <n v="2.95"/>
    <s v="Drive-thru "/>
    <x v="1"/>
    <s v="Pablo Perez"/>
    <n v="678"/>
    <s v="Madrid"/>
    <s v="Spain"/>
    <n v="2000.1000000000001"/>
  </r>
  <r>
    <n v="10504"/>
    <d v="2022-11-17T00:00:00"/>
    <x v="2"/>
    <n v="4.99"/>
    <s v="Drive-thru "/>
    <x v="1"/>
    <s v="Pablo Perez"/>
    <n v="201"/>
    <s v="Madrid"/>
    <s v="Spain"/>
    <n v="1002.99"/>
  </r>
  <r>
    <n v="10505"/>
    <d v="2022-11-18T00:00:00"/>
    <x v="3"/>
    <n v="12.99"/>
    <s v="Drive-thru "/>
    <x v="1"/>
    <s v="Pablo Perez"/>
    <n v="539"/>
    <s v="Madrid"/>
    <s v="Spain"/>
    <n v="7001.61"/>
  </r>
  <r>
    <n v="10506"/>
    <d v="2022-11-18T00:00:00"/>
    <x v="4"/>
    <n v="9.9499999999999993"/>
    <s v="Drive-thru "/>
    <x v="1"/>
    <s v="Pablo Perez"/>
    <n v="202"/>
    <s v="Madrid"/>
    <s v="Spain"/>
    <n v="2009.8999999999999"/>
  </r>
  <r>
    <n v="10507"/>
    <d v="2022-11-18T00:00:00"/>
    <x v="0"/>
    <n v="3.49"/>
    <s v="Drive-thru "/>
    <x v="1"/>
    <s v="Pablo Perez"/>
    <n v="688"/>
    <s v="Madrid"/>
    <s v="Spain"/>
    <n v="2401.1200000000003"/>
  </r>
  <r>
    <n v="10508"/>
    <d v="2022-11-18T00:00:00"/>
    <x v="1"/>
    <n v="2.95"/>
    <s v="Drive-thru "/>
    <x v="1"/>
    <s v="Pablo Perez"/>
    <n v="678"/>
    <s v="Madrid"/>
    <s v="Spain"/>
    <n v="2000.1000000000001"/>
  </r>
  <r>
    <n v="10509"/>
    <d v="2022-11-18T00:00:00"/>
    <x v="2"/>
    <n v="4.99"/>
    <s v="Drive-thru "/>
    <x v="1"/>
    <s v="Pablo Perez"/>
    <n v="201"/>
    <s v="Madrid"/>
    <s v="Spain"/>
    <n v="1002.99"/>
  </r>
  <r>
    <n v="10510"/>
    <d v="2022-11-19T00:00:00"/>
    <x v="3"/>
    <n v="12.99"/>
    <s v="Drive-thru "/>
    <x v="1"/>
    <s v="Pablo Perez"/>
    <n v="509"/>
    <s v="Madrid"/>
    <s v="Spain"/>
    <n v="6611.91"/>
  </r>
  <r>
    <n v="10511"/>
    <d v="2022-11-19T00:00:00"/>
    <x v="4"/>
    <n v="9.9499999999999993"/>
    <s v="Drive-thru "/>
    <x v="1"/>
    <s v="Joao Silva"/>
    <n v="202"/>
    <s v="Lisbon"/>
    <s v="Portugal"/>
    <n v="2009.8999999999999"/>
  </r>
  <r>
    <n v="10512"/>
    <d v="2022-11-19T00:00:00"/>
    <x v="0"/>
    <n v="3.49"/>
    <s v="Drive-thru "/>
    <x v="1"/>
    <s v="Joao Silva"/>
    <n v="688"/>
    <s v="Lisbon"/>
    <s v="Portugal"/>
    <n v="2401.1200000000003"/>
  </r>
  <r>
    <n v="10513"/>
    <d v="2022-11-19T00:00:00"/>
    <x v="1"/>
    <n v="2.95"/>
    <s v="Drive-thru "/>
    <x v="2"/>
    <s v="Joao Silva"/>
    <n v="678"/>
    <s v="Lisbon"/>
    <s v="Portugal"/>
    <n v="2000.1000000000001"/>
  </r>
  <r>
    <n v="10514"/>
    <d v="2022-11-19T00:00:00"/>
    <x v="2"/>
    <n v="4.99"/>
    <s v="Drive-thru "/>
    <x v="2"/>
    <s v="Joao Silva"/>
    <n v="201"/>
    <s v="Lisbon"/>
    <s v="Portugal"/>
    <n v="1002.99"/>
  </r>
  <r>
    <n v="10515"/>
    <d v="2022-11-20T00:00:00"/>
    <x v="3"/>
    <n v="12.99"/>
    <s v="Drive-thru "/>
    <x v="2"/>
    <s v="Joao Silva"/>
    <n v="478"/>
    <s v="Lisbon"/>
    <s v="Portugal"/>
    <n v="6209.22"/>
  </r>
  <r>
    <n v="10516"/>
    <d v="2022-11-20T00:00:00"/>
    <x v="4"/>
    <n v="9.9499999999999993"/>
    <s v="Drive-thru "/>
    <x v="2"/>
    <s v="Joao Silva"/>
    <n v="202"/>
    <s v="Lisbon"/>
    <s v="Portugal"/>
    <n v="2009.8999999999999"/>
  </r>
  <r>
    <n v="10483"/>
    <d v="2022-11-13T00:00:00"/>
    <x v="1"/>
    <n v="2.95"/>
    <s v="In-store "/>
    <x v="1"/>
    <s v="Joao Silva"/>
    <n v="678"/>
    <s v="Lisbon"/>
    <s v="Portugal"/>
    <n v="2000.1000000000001"/>
  </r>
  <r>
    <n v="10484"/>
    <d v="2022-11-13T00:00:00"/>
    <x v="2"/>
    <n v="4.99"/>
    <s v="In-store "/>
    <x v="1"/>
    <s v="Joao Silva"/>
    <n v="201"/>
    <s v="Lisbon"/>
    <s v="Portugal"/>
    <n v="1002.99"/>
  </r>
  <r>
    <n v="10485"/>
    <d v="2022-11-14T00:00:00"/>
    <x v="3"/>
    <n v="12.99"/>
    <s v="In-store "/>
    <x v="1"/>
    <s v="Joao Silva"/>
    <n v="524"/>
    <s v="Lisbon"/>
    <s v="Portugal"/>
    <n v="6806.76"/>
  </r>
  <r>
    <n v="10520"/>
    <d v="2022-11-21T00:00:00"/>
    <x v="3"/>
    <n v="12.99"/>
    <s v="Drive-thru "/>
    <x v="2"/>
    <s v="Remy Monet"/>
    <n v="493"/>
    <s v="Paris"/>
    <s v="#CONNECT!"/>
    <n v="6404.07"/>
  </r>
  <r>
    <n v="10521"/>
    <d v="2022-11-21T00:00:00"/>
    <x v="4"/>
    <n v="9.9499999999999993"/>
    <s v="Drive-thru "/>
    <x v="2"/>
    <s v="Remy Monet"/>
    <n v="202"/>
    <s v="Paris"/>
    <s v="#CONNECT!"/>
    <n v="2009.8999999999999"/>
  </r>
  <r>
    <n v="10522"/>
    <d v="2022-11-21T00:00:00"/>
    <x v="0"/>
    <n v="3.49"/>
    <s v="Drive-thru "/>
    <x v="2"/>
    <s v="Remy Monet"/>
    <n v="688"/>
    <s v="Paris"/>
    <s v="#CONNECT!"/>
    <n v="2401.1200000000003"/>
  </r>
  <r>
    <n v="10523"/>
    <d v="2022-11-21T00:00:00"/>
    <x v="1"/>
    <n v="2.95"/>
    <s v="Drive-thru "/>
    <x v="2"/>
    <s v="Remy Monet"/>
    <n v="746"/>
    <s v="Paris"/>
    <s v="#CONNECT!"/>
    <n v="2200.7000000000003"/>
  </r>
  <r>
    <n v="10524"/>
    <d v="2022-11-21T00:00:00"/>
    <x v="2"/>
    <n v="4.99"/>
    <s v="Drive-thru "/>
    <x v="2"/>
    <s v="Remy Monet"/>
    <n v="201"/>
    <s v="Paris"/>
    <s v="#CONNECT!"/>
    <n v="1002.99"/>
  </r>
  <r>
    <n v="10525"/>
    <d v="2022-11-22T00:00:00"/>
    <x v="3"/>
    <n v="12.99"/>
    <s v="Drive-thru "/>
    <x v="2"/>
    <s v="Remy Monet"/>
    <n v="462"/>
    <s v="Paris"/>
    <s v="#CONNECT!"/>
    <n v="6001.38"/>
  </r>
  <r>
    <n v="10526"/>
    <d v="2022-11-22T00:00:00"/>
    <x v="4"/>
    <n v="9.9499999999999993"/>
    <s v="Drive-thru "/>
    <x v="2"/>
    <s v="Remy Monet"/>
    <n v="202"/>
    <s v="Paris"/>
    <s v="#CONNECT!"/>
    <n v="2009.8999999999999"/>
  </r>
  <r>
    <n v="10527"/>
    <d v="2022-11-22T00:00:00"/>
    <x v="0"/>
    <n v="3.49"/>
    <s v="Drive-thru "/>
    <x v="2"/>
    <s v="Remy Monet"/>
    <n v="688"/>
    <s v="Paris"/>
    <s v="#CONNECT!"/>
    <n v="2401.1200000000003"/>
  </r>
  <r>
    <n v="10528"/>
    <d v="2022-11-22T00:00:00"/>
    <x v="1"/>
    <n v="2.95"/>
    <s v="Drive-thru "/>
    <x v="2"/>
    <s v="Remy Monet"/>
    <n v="746"/>
    <s v="Paris"/>
    <s v="#CONNECT!"/>
    <n v="2200.7000000000003"/>
  </r>
  <r>
    <n v="10529"/>
    <d v="2022-11-22T00:00:00"/>
    <x v="2"/>
    <n v="4.99"/>
    <s v="Drive-thru "/>
    <x v="2"/>
    <s v="Remy Monet"/>
    <n v="201"/>
    <s v="Paris"/>
    <s v="#CONNECT!"/>
    <n v="1002.99"/>
  </r>
  <r>
    <n v="10530"/>
    <d v="2022-11-23T00:00:00"/>
    <x v="3"/>
    <n v="12.99"/>
    <s v="Drive-thru "/>
    <x v="2"/>
    <s v="Remy Monet"/>
    <n v="478"/>
    <s v="Paris"/>
    <s v="#CONNECT!"/>
    <n v="6209.22"/>
  </r>
  <r>
    <n v="10531"/>
    <d v="2022-11-23T00:00:00"/>
    <x v="4"/>
    <n v="9.9499999999999993"/>
    <s v="Drive-thru "/>
    <x v="2"/>
    <s v="Remy Monet"/>
    <n v="202"/>
    <s v="Paris"/>
    <s v="#CONNECT!"/>
    <n v="2009.8999999999999"/>
  </r>
  <r>
    <n v="10532"/>
    <d v="2022-11-23T00:00:00"/>
    <x v="0"/>
    <n v="3.49"/>
    <s v="Drive-thru "/>
    <x v="2"/>
    <s v="Joao Silva"/>
    <n v="688"/>
    <s v="Lisbon"/>
    <s v="Portugal"/>
    <n v="2401.1200000000003"/>
  </r>
  <r>
    <n v="10533"/>
    <d v="2022-11-23T00:00:00"/>
    <x v="1"/>
    <n v="2.95"/>
    <s v="Drive-thru "/>
    <x v="2"/>
    <s v="Joao Silva"/>
    <n v="746"/>
    <s v="Lisbon"/>
    <s v="Portugal"/>
    <n v="2200.7000000000003"/>
  </r>
  <r>
    <n v="10534"/>
    <d v="2022-11-23T00:00:00"/>
    <x v="2"/>
    <n v="4.99"/>
    <s v="Drive-thru "/>
    <x v="2"/>
    <s v="Pablo Perez"/>
    <n v="201"/>
    <s v="Madrid"/>
    <s v="Spain"/>
    <n v="1002.99"/>
  </r>
  <r>
    <n v="10535"/>
    <d v="2022-11-24T00:00:00"/>
    <x v="3"/>
    <n v="12.99"/>
    <s v="Drive-thru "/>
    <x v="1"/>
    <s v="Pablo Perez"/>
    <n v="478"/>
    <s v="Madrid"/>
    <s v="Spain"/>
    <n v="6209.22"/>
  </r>
  <r>
    <n v="10536"/>
    <d v="2022-11-24T00:00:00"/>
    <x v="4"/>
    <n v="9.9499999999999993"/>
    <s v="Drive-thru "/>
    <x v="1"/>
    <s v="Pablo Perez"/>
    <n v="202"/>
    <s v="Madrid"/>
    <s v="Spain"/>
    <n v="2009.8999999999999"/>
  </r>
  <r>
    <n v="10537"/>
    <d v="2022-11-24T00:00:00"/>
    <x v="0"/>
    <n v="3.49"/>
    <s v="Drive-thru "/>
    <x v="1"/>
    <s v="Pablo Perez"/>
    <n v="631"/>
    <s v="Madrid"/>
    <s v="Spain"/>
    <n v="2202.19"/>
  </r>
  <r>
    <n v="10538"/>
    <d v="2022-11-24T00:00:00"/>
    <x v="1"/>
    <n v="2.95"/>
    <s v="Drive-thru "/>
    <x v="1"/>
    <s v="Pablo Perez"/>
    <n v="746"/>
    <s v="Madrid"/>
    <s v="Spain"/>
    <n v="2200.7000000000003"/>
  </r>
  <r>
    <n v="10539"/>
    <d v="2022-11-24T00:00:00"/>
    <x v="2"/>
    <n v="4.99"/>
    <s v="Drive-thru "/>
    <x v="1"/>
    <s v="Pablo Perez"/>
    <n v="201"/>
    <s v="Madrid"/>
    <s v="Spain"/>
    <n v="1002.99"/>
  </r>
  <r>
    <n v="10540"/>
    <d v="2022-11-25T00:00:00"/>
    <x v="3"/>
    <n v="12.99"/>
    <s v="Drive-thru "/>
    <x v="1"/>
    <s v="Pablo Perez"/>
    <n v="462"/>
    <s v="Madrid"/>
    <s v="Spain"/>
    <n v="6001.38"/>
  </r>
  <r>
    <n v="10541"/>
    <d v="2022-11-25T00:00:00"/>
    <x v="4"/>
    <n v="9.9499999999999993"/>
    <s v="Drive-thru "/>
    <x v="1"/>
    <s v="Tom Jackson"/>
    <n v="202"/>
    <s v="London"/>
    <s v="#CONNECT!"/>
    <n v="2009.8999999999999"/>
  </r>
  <r>
    <n v="10542"/>
    <d v="2022-11-25T00:00:00"/>
    <x v="0"/>
    <n v="3.49"/>
    <s v="Drive-thru "/>
    <x v="1"/>
    <s v="Tom Jackson"/>
    <n v="631"/>
    <s v="London"/>
    <s v="#CONNECT!"/>
    <n v="2202.19"/>
  </r>
  <r>
    <n v="10543"/>
    <d v="2022-11-25T00:00:00"/>
    <x v="1"/>
    <n v="2.95"/>
    <s v="Drive-thru "/>
    <x v="1"/>
    <s v="Tom Jackson"/>
    <n v="746"/>
    <s v="London"/>
    <s v="#CONNECT!"/>
    <n v="2200.7000000000003"/>
  </r>
  <r>
    <n v="10544"/>
    <d v="2022-11-25T00:00:00"/>
    <x v="2"/>
    <n v="4.99"/>
    <s v="Drive-thru "/>
    <x v="1"/>
    <s v="Tom Jackson"/>
    <n v="201"/>
    <s v="London"/>
    <s v="#CONNECT!"/>
    <n v="1002.99"/>
  </r>
  <r>
    <n v="10545"/>
    <d v="2022-11-26T00:00:00"/>
    <x v="3"/>
    <n v="12.99"/>
    <s v="Drive-thru "/>
    <x v="1"/>
    <s v="Tom Jackson"/>
    <n v="447"/>
    <s v="London"/>
    <s v="#CONNECT!"/>
    <n v="5806.53"/>
  </r>
  <r>
    <n v="10546"/>
    <d v="2022-11-26T00:00:00"/>
    <x v="4"/>
    <n v="9.9499999999999993"/>
    <s v="Drive-thru "/>
    <x v="1"/>
    <s v="Tom Jackson"/>
    <n v="202"/>
    <s v="London"/>
    <s v="#CONNECT!"/>
    <n v="2009.8999999999999"/>
  </r>
  <r>
    <n v="10547"/>
    <d v="2022-11-26T00:00:00"/>
    <x v="0"/>
    <n v="3.49"/>
    <s v="Drive-thru "/>
    <x v="1"/>
    <s v="Tom Jackson"/>
    <n v="631"/>
    <s v="London"/>
    <s v="#CONNECT!"/>
    <n v="2202.19"/>
  </r>
  <r>
    <n v="10548"/>
    <d v="2022-11-26T00:00:00"/>
    <x v="1"/>
    <n v="2.95"/>
    <s v="Drive-thru "/>
    <x v="1"/>
    <s v="Tom Jackson"/>
    <n v="746"/>
    <s v="London"/>
    <s v="#CONNECT!"/>
    <n v="2200.7000000000003"/>
  </r>
  <r>
    <n v="10549"/>
    <d v="2022-11-26T00:00:00"/>
    <x v="2"/>
    <n v="4.99"/>
    <s v="Drive-thru "/>
    <x v="1"/>
    <s v="Tom Jackson"/>
    <n v="201"/>
    <s v="London"/>
    <s v="#CONNECT!"/>
    <n v="1002.99"/>
  </r>
  <r>
    <n v="10550"/>
    <d v="2022-11-27T00:00:00"/>
    <x v="3"/>
    <n v="12.99"/>
    <s v="Drive-thru "/>
    <x v="1"/>
    <s v="Tom Jackson"/>
    <n v="462"/>
    <s v="London"/>
    <s v="#CONNECT!"/>
    <n v="6001.38"/>
  </r>
  <r>
    <n v="10551"/>
    <d v="2022-11-27T00:00:00"/>
    <x v="4"/>
    <n v="9.9499999999999993"/>
    <s v="Drive-thru "/>
    <x v="1"/>
    <s v="Tom Jackson"/>
    <n v="202"/>
    <s v="London"/>
    <s v="#CONNECT!"/>
    <n v="2009.8999999999999"/>
  </r>
  <r>
    <n v="10552"/>
    <d v="2022-11-27T00:00:00"/>
    <x v="0"/>
    <n v="3.49"/>
    <s v="Online "/>
    <x v="1"/>
    <s v="Tom Jackson"/>
    <n v="631"/>
    <s v="London"/>
    <s v="#CONNECT!"/>
    <n v="2202.19"/>
  </r>
  <r>
    <n v="10553"/>
    <d v="2022-11-27T00:00:00"/>
    <x v="1"/>
    <n v="2.95"/>
    <s v="Online "/>
    <x v="1"/>
    <s v="Tom Jackson"/>
    <n v="746"/>
    <s v="London"/>
    <s v="#CONNECT!"/>
    <n v="2200.7000000000003"/>
  </r>
  <r>
    <n v="10554"/>
    <d v="2022-11-27T00:00:00"/>
    <x v="2"/>
    <n v="4.99"/>
    <s v="Online "/>
    <x v="1"/>
    <s v="Tom Jackson"/>
    <n v="201"/>
    <s v="London"/>
    <s v="#CONNECT!"/>
    <n v="1002.99"/>
  </r>
  <r>
    <n v="10555"/>
    <d v="2022-11-28T00:00:00"/>
    <x v="3"/>
    <n v="12.99"/>
    <s v="Online "/>
    <x v="1"/>
    <s v="Tom Jackson"/>
    <n v="478"/>
    <s v="London"/>
    <s v="#CONNECT!"/>
    <n v="6209.22"/>
  </r>
  <r>
    <n v="10556"/>
    <d v="2022-11-28T00:00:00"/>
    <x v="4"/>
    <n v="9.9499999999999993"/>
    <s v="Online "/>
    <x v="1"/>
    <s v="Tom Jackson"/>
    <n v="202"/>
    <s v="London"/>
    <s v="#CONNECT!"/>
    <n v="2009.8999999999999"/>
  </r>
  <r>
    <n v="10557"/>
    <d v="2022-11-28T00:00:00"/>
    <x v="0"/>
    <n v="3.49"/>
    <s v="Online "/>
    <x v="1"/>
    <s v="Tom Jackson"/>
    <n v="631"/>
    <s v="London"/>
    <s v="#CONNECT!"/>
    <n v="2202.19"/>
  </r>
  <r>
    <n v="10558"/>
    <d v="2022-11-28T00:00:00"/>
    <x v="1"/>
    <n v="2.95"/>
    <s v="Online "/>
    <x v="1"/>
    <s v="Tom Jackson"/>
    <n v="678"/>
    <s v="London"/>
    <s v="#CONNECT!"/>
    <n v="2000.1000000000001"/>
  </r>
  <r>
    <n v="10559"/>
    <d v="2022-11-28T00:00:00"/>
    <x v="2"/>
    <n v="4.99"/>
    <s v="Online "/>
    <x v="1"/>
    <s v="Tom Jackson"/>
    <n v="201"/>
    <s v="London"/>
    <s v="#CONNECT!"/>
    <n v="1002.99"/>
  </r>
  <r>
    <n v="10560"/>
    <d v="2022-11-29T00:00:00"/>
    <x v="3"/>
    <n v="12.99"/>
    <s v="Online "/>
    <x v="1"/>
    <s v="Tom Jackson"/>
    <n v="478"/>
    <s v="London"/>
    <s v="#CONNECT!"/>
    <n v="6209.22"/>
  </r>
  <r>
    <n v="10561"/>
    <d v="2022-11-29T00:00:00"/>
    <x v="4"/>
    <n v="9.9499999999999993"/>
    <s v="Online "/>
    <x v="1"/>
    <s v="Tom Jackson"/>
    <n v="202"/>
    <s v="London"/>
    <s v="#CONNECT!"/>
    <n v="2009.8999999999999"/>
  </r>
  <r>
    <n v="10562"/>
    <d v="2022-11-29T00:00:00"/>
    <x v="0"/>
    <n v="3.49"/>
    <s v="Online "/>
    <x v="1"/>
    <s v="Tom Jackson"/>
    <n v="631"/>
    <s v="London"/>
    <s v="#CONNECT!"/>
    <n v="2202.19"/>
  </r>
  <r>
    <n v="10563"/>
    <d v="2022-11-29T00:00:00"/>
    <x v="1"/>
    <n v="2.95"/>
    <s v="Online "/>
    <x v="1"/>
    <s v="Tom Jackson"/>
    <n v="678"/>
    <s v="London"/>
    <s v="#CONNECT!"/>
    <n v="2000.1000000000001"/>
  </r>
  <r>
    <n v="10564"/>
    <d v="2022-11-29T00:00:00"/>
    <x v="2"/>
    <n v="4.99"/>
    <s v="Online "/>
    <x v="1"/>
    <s v="Tom Jackson"/>
    <n v="201"/>
    <s v="London"/>
    <s v="#CONNECT!"/>
    <n v="1002.99"/>
  </r>
  <r>
    <n v="10565"/>
    <d v="2022-11-30T00:00:00"/>
    <x v="3"/>
    <n v="12.99"/>
    <s v="Online "/>
    <x v="1"/>
    <s v="Tom Jackson"/>
    <n v="493"/>
    <s v="London"/>
    <s v="#CONNECT!"/>
    <n v="6404.07"/>
  </r>
  <r>
    <n v="10566"/>
    <d v="2022-11-30T00:00:00"/>
    <x v="4"/>
    <n v="9.9499999999999993"/>
    <s v="Online "/>
    <x v="1"/>
    <s v="Tom Jackson"/>
    <n v="202"/>
    <s v="London"/>
    <s v="#CONNECT!"/>
    <n v="2009.8999999999999"/>
  </r>
  <r>
    <n v="10567"/>
    <d v="2022-11-30T00:00:00"/>
    <x v="0"/>
    <n v="3.49"/>
    <s v="Online "/>
    <x v="1"/>
    <s v="Tom Jackson"/>
    <n v="631"/>
    <s v="London"/>
    <s v="#CONNECT!"/>
    <n v="2202.19"/>
  </r>
  <r>
    <n v="10568"/>
    <d v="2022-11-30T00:00:00"/>
    <x v="1"/>
    <n v="2.95"/>
    <s v="Online "/>
    <x v="1"/>
    <s v="Tom Jackson"/>
    <n v="678"/>
    <s v="London"/>
    <s v="#CONNECT!"/>
    <n v="2000.1000000000001"/>
  </r>
  <r>
    <n v="10569"/>
    <d v="2022-11-30T00:00:00"/>
    <x v="2"/>
    <n v="4.99"/>
    <s v="Online "/>
    <x v="1"/>
    <s v="Tom Jackson"/>
    <n v="201"/>
    <s v="London"/>
    <s v="#CONNECT!"/>
    <n v="1002.99"/>
  </r>
  <r>
    <n v="10570"/>
    <d v="2022-12-01T00:00:00"/>
    <x v="3"/>
    <n v="12.99"/>
    <s v="Online "/>
    <x v="1"/>
    <s v="Tom Jackson"/>
    <n v="493"/>
    <s v="London"/>
    <s v="#CONNECT!"/>
    <n v="6404.07"/>
  </r>
  <r>
    <n v="10571"/>
    <d v="2022-12-01T00:00:00"/>
    <x v="4"/>
    <n v="9.9499999999999993"/>
    <s v="Online "/>
    <x v="1"/>
    <s v="Tom Jackson"/>
    <n v="202"/>
    <s v="London"/>
    <s v="#CONNECT!"/>
    <n v="2009.8999999999999"/>
  </r>
  <r>
    <n v="10572"/>
    <d v="2022-12-01T00:00:00"/>
    <x v="0"/>
    <n v="3.49"/>
    <s v="Online "/>
    <x v="1"/>
    <s v="Remy Monet"/>
    <n v="574"/>
    <s v="Paris"/>
    <s v="#CONNECT!"/>
    <n v="2003.2600000000002"/>
  </r>
  <r>
    <n v="10573"/>
    <d v="2022-12-01T00:00:00"/>
    <x v="1"/>
    <n v="2.95"/>
    <s v="Online "/>
    <x v="1"/>
    <s v="Remy Monet"/>
    <n v="678"/>
    <s v="Paris"/>
    <s v="#CONNECT!"/>
    <n v="2000.1000000000001"/>
  </r>
  <r>
    <n v="10574"/>
    <d v="2022-12-01T00:00:00"/>
    <x v="2"/>
    <n v="4.99"/>
    <s v="Online "/>
    <x v="1"/>
    <s v="Remy Monet"/>
    <n v="201"/>
    <s v="Paris"/>
    <s v="#CONNECT!"/>
    <n v="1002.99"/>
  </r>
  <r>
    <n v="10575"/>
    <d v="2022-12-02T00:00:00"/>
    <x v="3"/>
    <n v="12.99"/>
    <s v="Online "/>
    <x v="1"/>
    <s v="Remy Monet"/>
    <n v="524"/>
    <s v="Paris"/>
    <s v="#CONNECT!"/>
    <n v="6806.76"/>
  </r>
  <r>
    <n v="10576"/>
    <d v="2022-12-02T00:00:00"/>
    <x v="4"/>
    <n v="9.9499999999999993"/>
    <s v="Online "/>
    <x v="1"/>
    <s v="Remy Monet"/>
    <n v="202"/>
    <s v="Paris"/>
    <s v="#CONNECT!"/>
    <n v="2009.8999999999999"/>
  </r>
  <r>
    <n v="10577"/>
    <d v="2022-12-02T00:00:00"/>
    <x v="0"/>
    <n v="3.49"/>
    <s v="Online "/>
    <x v="1"/>
    <s v="Remy Monet"/>
    <n v="631"/>
    <s v="Paris"/>
    <s v="#CONNECT!"/>
    <n v="2202.19"/>
  </r>
  <r>
    <n v="10578"/>
    <d v="2022-12-02T00:00:00"/>
    <x v="1"/>
    <n v="2.95"/>
    <s v="Online "/>
    <x v="1"/>
    <s v="Remy Monet"/>
    <n v="678"/>
    <s v="Paris"/>
    <s v="#CONNECT!"/>
    <n v="2000.1000000000001"/>
  </r>
  <r>
    <n v="10579"/>
    <d v="2022-12-02T00:00:00"/>
    <x v="2"/>
    <n v="4.99"/>
    <s v="Online "/>
    <x v="1"/>
    <s v="Remy Monet"/>
    <n v="201"/>
    <s v="Paris"/>
    <s v="#CONNECT!"/>
    <n v="1002.99"/>
  </r>
  <r>
    <n v="10580"/>
    <d v="2022-12-03T00:00:00"/>
    <x v="3"/>
    <n v="12.99"/>
    <s v="Online "/>
    <x v="1"/>
    <s v="Remy Monet"/>
    <n v="524"/>
    <s v="Paris"/>
    <s v="#CONNECT!"/>
    <n v="6806.76"/>
  </r>
  <r>
    <n v="10581"/>
    <d v="2022-12-03T00:00:00"/>
    <x v="4"/>
    <n v="9.9499999999999993"/>
    <s v="Online "/>
    <x v="1"/>
    <s v="Remy Monet"/>
    <n v="202"/>
    <s v="Paris"/>
    <s v="#CONNECT!"/>
    <n v="2009.8999999999999"/>
  </r>
  <r>
    <n v="10582"/>
    <d v="2022-12-03T00:00:00"/>
    <x v="0"/>
    <n v="3.49"/>
    <s v="Online "/>
    <x v="1"/>
    <s v="Tom Jackson"/>
    <n v="631"/>
    <s v="London"/>
    <s v="#CONNECT!"/>
    <n v="2202.19"/>
  </r>
  <r>
    <n v="10583"/>
    <d v="2022-12-03T00:00:00"/>
    <x v="1"/>
    <n v="2.95"/>
    <s v="Online "/>
    <x v="1"/>
    <s v="Tom Jackson"/>
    <n v="678"/>
    <s v="London"/>
    <s v="#CONNECT!"/>
    <n v="2000.1000000000001"/>
  </r>
  <r>
    <n v="10584"/>
    <d v="2022-12-03T00:00:00"/>
    <x v="2"/>
    <n v="4.99"/>
    <s v="Online "/>
    <x v="1"/>
    <s v="Tom Jackson"/>
    <n v="201"/>
    <s v="London"/>
    <s v="#CONNECT!"/>
    <n v="1002.99"/>
  </r>
  <r>
    <n v="10585"/>
    <d v="2022-12-04T00:00:00"/>
    <x v="3"/>
    <n v="12.99"/>
    <s v="Online "/>
    <x v="1"/>
    <s v="Tom Jackson"/>
    <n v="539"/>
    <s v="London"/>
    <s v="#CONNECT!"/>
    <n v="7001.61"/>
  </r>
  <r>
    <n v="10586"/>
    <d v="2022-12-04T00:00:00"/>
    <x v="4"/>
    <n v="9.9499999999999993"/>
    <s v="Online "/>
    <x v="1"/>
    <s v="Tom Jackson"/>
    <n v="202"/>
    <s v="London"/>
    <s v="#CONNECT!"/>
    <n v="2009.8999999999999"/>
  </r>
  <r>
    <n v="10590"/>
    <d v="2022-12-05T00:00:00"/>
    <x v="3"/>
    <n v="12.99"/>
    <s v="Online "/>
    <x v="1"/>
    <s v="Tom Jackson"/>
    <n v="555"/>
    <s v="London"/>
    <s v="#CONNECT!"/>
    <n v="7209.45"/>
  </r>
  <r>
    <n v="10591"/>
    <d v="2022-12-05T00:00:00"/>
    <x v="4"/>
    <n v="9.9499999999999993"/>
    <s v="Online "/>
    <x v="1"/>
    <s v="Tom Jackson"/>
    <n v="202"/>
    <s v="London"/>
    <s v="#CONNECT!"/>
    <n v="2009.8999999999999"/>
  </r>
  <r>
    <n v="10592"/>
    <d v="2022-12-05T00:00:00"/>
    <x v="0"/>
    <n v="3.49"/>
    <s v="Online "/>
    <x v="1"/>
    <s v="Tom Jackson"/>
    <n v="574"/>
    <s v="London"/>
    <s v="#CONNECT!"/>
    <n v="2003.2600000000002"/>
  </r>
  <r>
    <n v="10593"/>
    <d v="2022-12-05T00:00:00"/>
    <x v="1"/>
    <n v="2.95"/>
    <s v="Online "/>
    <x v="1"/>
    <s v="Tom Jackson"/>
    <n v="678"/>
    <s v="London"/>
    <s v="#CONNECT!"/>
    <n v="2000.1000000000001"/>
  </r>
  <r>
    <n v="10594"/>
    <d v="2022-12-05T00:00:00"/>
    <x v="2"/>
    <n v="4.99"/>
    <s v="Online "/>
    <x v="1"/>
    <s v="Tom Jackson"/>
    <n v="201"/>
    <s v="London"/>
    <s v="#CONNECT!"/>
    <n v="1002.99"/>
  </r>
  <r>
    <n v="10595"/>
    <d v="2022-12-06T00:00:00"/>
    <x v="3"/>
    <n v="12.99"/>
    <s v="Online "/>
    <x v="1"/>
    <s v="Tom Jackson"/>
    <n v="539"/>
    <s v="London"/>
    <s v="#CONNECT!"/>
    <n v="7001.61"/>
  </r>
  <r>
    <n v="10596"/>
    <d v="2022-12-06T00:00:00"/>
    <x v="4"/>
    <n v="9.9499999999999993"/>
    <s v="Online "/>
    <x v="1"/>
    <s v="Tom Jackson"/>
    <n v="202"/>
    <s v="London"/>
    <s v="#CONNECT!"/>
    <n v="2009.8999999999999"/>
  </r>
  <r>
    <n v="10597"/>
    <d v="2022-12-06T00:00:00"/>
    <x v="0"/>
    <n v="3.49"/>
    <s v="Online "/>
    <x v="1"/>
    <s v="Tom Jackson"/>
    <n v="574"/>
    <s v="London"/>
    <s v="#CONNECT!"/>
    <n v="2003.2600000000002"/>
  </r>
  <r>
    <n v="10598"/>
    <d v="2022-12-06T00:00:00"/>
    <x v="1"/>
    <n v="2.95"/>
    <s v="Online "/>
    <x v="1"/>
    <s v="Tom Jackson"/>
    <n v="678"/>
    <s v="London"/>
    <s v="#CONNECT!"/>
    <n v="2000.1000000000001"/>
  </r>
  <r>
    <n v="10599"/>
    <d v="2022-12-06T00:00:00"/>
    <x v="2"/>
    <n v="4.99"/>
    <s v="Online "/>
    <x v="1"/>
    <s v="Tom Jackson"/>
    <n v="201"/>
    <s v="London"/>
    <s v="#CONNECT!"/>
    <n v="1002.99"/>
  </r>
  <r>
    <n v="10600"/>
    <d v="2022-12-07T00:00:00"/>
    <x v="3"/>
    <n v="12.99"/>
    <s v="Online "/>
    <x v="1"/>
    <s v="Tom Jackson"/>
    <n v="524"/>
    <s v="London"/>
    <s v="#CONNECT!"/>
    <n v="6806.76"/>
  </r>
  <r>
    <n v="10601"/>
    <d v="2022-12-07T00:00:00"/>
    <x v="4"/>
    <n v="9.9499999999999993"/>
    <s v="Online "/>
    <x v="1"/>
    <s v="Tom Jackson"/>
    <n v="202"/>
    <s v="London"/>
    <s v="#CONNECT!"/>
    <n v="2009.8999999999999"/>
  </r>
  <r>
    <n v="10602"/>
    <d v="2022-12-07T00:00:00"/>
    <x v="0"/>
    <n v="3.49"/>
    <s v="Online "/>
    <x v="2"/>
    <s v="Tom Jackson"/>
    <n v="631"/>
    <s v="London"/>
    <s v="#CONNECT!"/>
    <n v="2202.19"/>
  </r>
  <r>
    <n v="10603"/>
    <d v="2022-12-07T00:00:00"/>
    <x v="1"/>
    <n v="2.95"/>
    <s v="Online "/>
    <x v="2"/>
    <s v="Tom Jackson"/>
    <n v="678"/>
    <s v="London"/>
    <s v="#CONNECT!"/>
    <n v="2000.1000000000001"/>
  </r>
  <r>
    <n v="10604"/>
    <d v="2022-12-07T00:00:00"/>
    <x v="2"/>
    <n v="4.99"/>
    <s v="Online "/>
    <x v="2"/>
    <s v="Tom Jackson"/>
    <n v="201"/>
    <s v="London"/>
    <s v="#CONNECT!"/>
    <n v="1002.99"/>
  </r>
  <r>
    <n v="10605"/>
    <d v="2022-12-08T00:00:00"/>
    <x v="3"/>
    <n v="12.99"/>
    <s v="Online "/>
    <x v="2"/>
    <s v="Tom Jackson"/>
    <n v="539"/>
    <s v="London"/>
    <s v="#CONNECT!"/>
    <n v="7001.61"/>
  </r>
  <r>
    <n v="10606"/>
    <d v="2022-12-08T00:00:00"/>
    <x v="4"/>
    <n v="9.9499999999999993"/>
    <s v="Online "/>
    <x v="2"/>
    <s v="Tom Jackson"/>
    <n v="202"/>
    <s v="London"/>
    <s v="#CONNECT!"/>
    <n v="2009.8999999999999"/>
  </r>
  <r>
    <n v="10607"/>
    <d v="2022-12-08T00:00:00"/>
    <x v="0"/>
    <n v="3.49"/>
    <s v="Online "/>
    <x v="2"/>
    <s v="Tom Jackson"/>
    <n v="631"/>
    <s v="London"/>
    <s v="#CONNECT!"/>
    <n v="2202.19"/>
  </r>
  <r>
    <n v="10608"/>
    <d v="2022-12-08T00:00:00"/>
    <x v="1"/>
    <n v="2.95"/>
    <s v="Online "/>
    <x v="0"/>
    <s v="Tom Jackson"/>
    <n v="678"/>
    <s v="London"/>
    <s v="#CONNECT!"/>
    <n v="2000.1000000000001"/>
  </r>
  <r>
    <n v="10609"/>
    <d v="2022-12-08T00:00:00"/>
    <x v="2"/>
    <n v="4.99"/>
    <s v="Online "/>
    <x v="0"/>
    <s v="Tom Jackson"/>
    <n v="201"/>
    <s v="London"/>
    <s v="#CONNECT!"/>
    <n v="1002.99"/>
  </r>
  <r>
    <n v="10610"/>
    <d v="2022-12-09T00:00:00"/>
    <x v="3"/>
    <n v="12.99"/>
    <s v="Online "/>
    <x v="0"/>
    <s v="Tom Jackson"/>
    <n v="570"/>
    <s v="London"/>
    <s v="#CONNECT!"/>
    <n v="7404.3"/>
  </r>
  <r>
    <n v="10611"/>
    <d v="2022-12-09T00:00:00"/>
    <x v="4"/>
    <n v="9.9499999999999993"/>
    <s v="Online "/>
    <x v="0"/>
    <s v="Tom Jackson"/>
    <n v="202"/>
    <s v="London"/>
    <s v="#CONNECT!"/>
    <n v="2009.8999999999999"/>
  </r>
  <r>
    <n v="10612"/>
    <d v="2022-12-09T00:00:00"/>
    <x v="0"/>
    <n v="3.49"/>
    <s v="Online "/>
    <x v="0"/>
    <s v="Tom Jackson"/>
    <n v="631"/>
    <s v="London"/>
    <s v="#CONNECT!"/>
    <n v="2202.19"/>
  </r>
  <r>
    <n v="10613"/>
    <d v="2022-12-09T00:00:00"/>
    <x v="1"/>
    <n v="2.95"/>
    <s v="Online "/>
    <x v="0"/>
    <s v="Tom Jackson"/>
    <n v="678"/>
    <s v="London"/>
    <s v="#CONNECT!"/>
    <n v="2000.1000000000001"/>
  </r>
  <r>
    <n v="10614"/>
    <d v="2022-12-09T00:00:00"/>
    <x v="2"/>
    <n v="4.99"/>
    <s v="Online "/>
    <x v="0"/>
    <s v="Tom Jackson"/>
    <n v="201"/>
    <s v="London"/>
    <s v="#CONNECT!"/>
    <n v="1002.99"/>
  </r>
  <r>
    <n v="10615"/>
    <d v="2022-12-10T00:00:00"/>
    <x v="3"/>
    <n v="12.99"/>
    <s v="Online "/>
    <x v="0"/>
    <s v="Tom Jackson"/>
    <n v="570"/>
    <s v="London"/>
    <s v="#CONNECT!"/>
    <n v="7404.3"/>
  </r>
  <r>
    <n v="10616"/>
    <d v="2022-12-10T00:00:00"/>
    <x v="4"/>
    <n v="9.9499999999999993"/>
    <s v="Online "/>
    <x v="0"/>
    <s v="Tom Jackson"/>
    <n v="202"/>
    <s v="London"/>
    <s v="#CONNECT!"/>
    <n v="2009.8999999999999"/>
  </r>
  <r>
    <n v="10617"/>
    <d v="2022-12-10T00:00:00"/>
    <x v="0"/>
    <n v="3.49"/>
    <s v="Online "/>
    <x v="0"/>
    <s v="Tom Jackson"/>
    <n v="631"/>
    <s v="London"/>
    <s v="#CONNECT!"/>
    <n v="2202.19"/>
  </r>
  <r>
    <n v="10618"/>
    <d v="2022-12-10T00:00:00"/>
    <x v="1"/>
    <n v="2.95"/>
    <s v="Online "/>
    <x v="0"/>
    <s v="Tom Jackson"/>
    <n v="678"/>
    <s v="London"/>
    <s v="#CONNECT!"/>
    <n v="2000.1000000000001"/>
  </r>
  <r>
    <n v="10619"/>
    <d v="2022-12-10T00:00:00"/>
    <x v="2"/>
    <n v="4.99"/>
    <s v="Online "/>
    <x v="0"/>
    <s v="Tom Jackson"/>
    <n v="201"/>
    <s v="London"/>
    <s v="#CONNECT!"/>
    <n v="1002.99"/>
  </r>
  <r>
    <n v="10620"/>
    <d v="2022-12-11T00:00:00"/>
    <x v="3"/>
    <n v="12.99"/>
    <s v="Online "/>
    <x v="0"/>
    <s v="Tom Jackson"/>
    <n v="586"/>
    <s v="London"/>
    <s v="#CONNECT!"/>
    <n v="7612.14"/>
  </r>
  <r>
    <n v="10621"/>
    <d v="2022-12-11T00:00:00"/>
    <x v="4"/>
    <n v="9.9499999999999993"/>
    <s v="Online "/>
    <x v="0"/>
    <s v="Tom Jackson"/>
    <n v="202"/>
    <s v="London"/>
    <s v="#CONNECT!"/>
    <n v="2009.8999999999999"/>
  </r>
  <r>
    <n v="10622"/>
    <d v="2022-12-11T00:00:00"/>
    <x v="0"/>
    <n v="3.49"/>
    <s v="Online "/>
    <x v="0"/>
    <s v="Tom Jackson"/>
    <n v="631"/>
    <s v="London"/>
    <s v="#CONNECT!"/>
    <n v="2202.19"/>
  </r>
  <r>
    <n v="10623"/>
    <d v="2022-12-11T00:00:00"/>
    <x v="1"/>
    <n v="2.95"/>
    <s v="Online "/>
    <x v="0"/>
    <s v="Tom Jackson"/>
    <n v="746"/>
    <s v="London"/>
    <s v="#CONNECT!"/>
    <n v="2200.7000000000003"/>
  </r>
  <r>
    <n v="10624"/>
    <d v="2022-12-11T00:00:00"/>
    <x v="2"/>
    <n v="4.99"/>
    <s v="Online "/>
    <x v="0"/>
    <s v="Tom Jackson"/>
    <n v="201"/>
    <s v="London"/>
    <s v="#CONNECT!"/>
    <n v="1002.99"/>
  </r>
  <r>
    <n v="10625"/>
    <d v="2022-12-12T00:00:00"/>
    <x v="3"/>
    <n v="12.99"/>
    <s v="Online "/>
    <x v="0"/>
    <s v="Tom Jackson"/>
    <n v="570"/>
    <s v="London"/>
    <s v="#CONNECT!"/>
    <n v="7404.3"/>
  </r>
  <r>
    <n v="10626"/>
    <d v="2022-12-12T00:00:00"/>
    <x v="4"/>
    <n v="9.9499999999999993"/>
    <s v="Online "/>
    <x v="0"/>
    <s v="Tom Jackson"/>
    <n v="202"/>
    <s v="London"/>
    <s v="#CONNECT!"/>
    <n v="2009.8999999999999"/>
  </r>
  <r>
    <n v="10627"/>
    <d v="2022-12-12T00:00:00"/>
    <x v="0"/>
    <n v="3.49"/>
    <s v="Online "/>
    <x v="0"/>
    <s v="Tom Jackson"/>
    <n v="631"/>
    <s v="London"/>
    <s v="#CONNECT!"/>
    <n v="2202.19"/>
  </r>
  <r>
    <n v="10628"/>
    <d v="2022-12-12T00:00:00"/>
    <x v="1"/>
    <n v="2.95"/>
    <s v="Online "/>
    <x v="0"/>
    <s v="Joao Silva"/>
    <n v="678"/>
    <s v="Lisbon"/>
    <s v="Portugal"/>
    <n v="2000.1000000000001"/>
  </r>
  <r>
    <n v="10629"/>
    <d v="2022-12-12T00:00:00"/>
    <x v="2"/>
    <n v="4.99"/>
    <s v="Online "/>
    <x v="0"/>
    <s v="Joao Silva"/>
    <n v="201"/>
    <s v="Lisbon"/>
    <s v="Portugal"/>
    <n v="1002.99"/>
  </r>
  <r>
    <n v="10630"/>
    <d v="2022-12-13T00:00:00"/>
    <x v="3"/>
    <n v="12.99"/>
    <s v="Online "/>
    <x v="2"/>
    <s v="Joao Silva"/>
    <n v="570"/>
    <s v="Lisbon"/>
    <s v="Portugal"/>
    <n v="7404.3"/>
  </r>
  <r>
    <n v="10631"/>
    <d v="2022-12-13T00:00:00"/>
    <x v="4"/>
    <n v="9.9499999999999993"/>
    <s v="Online "/>
    <x v="0"/>
    <s v="Joao Silva"/>
    <n v="202"/>
    <s v="Lisbon"/>
    <s v="Portugal"/>
    <n v="2009.8999999999999"/>
  </r>
  <r>
    <n v="10632"/>
    <d v="2022-12-13T00:00:00"/>
    <x v="0"/>
    <n v="3.49"/>
    <s v="Online "/>
    <x v="0"/>
    <s v="Joao Silva"/>
    <n v="631"/>
    <s v="Lisbon"/>
    <s v="Portugal"/>
    <n v="2202.19"/>
  </r>
  <r>
    <n v="10633"/>
    <d v="2022-12-13T00:00:00"/>
    <x v="1"/>
    <n v="2.95"/>
    <s v="Online "/>
    <x v="0"/>
    <s v="Joao Silva"/>
    <n v="678"/>
    <s v="Lisbon"/>
    <s v="Portugal"/>
    <n v="2000.1000000000001"/>
  </r>
  <r>
    <n v="10634"/>
    <d v="2022-12-13T00:00:00"/>
    <x v="2"/>
    <n v="4.99"/>
    <s v="Online "/>
    <x v="0"/>
    <s v="Joao Silva"/>
    <n v="201"/>
    <s v="Lisbon"/>
    <s v="Portugal"/>
    <n v="1002.99"/>
  </r>
  <r>
    <n v="10635"/>
    <d v="2022-12-14T00:00:00"/>
    <x v="3"/>
    <n v="12.99"/>
    <s v="Online "/>
    <x v="0"/>
    <s v="Joao Silva"/>
    <n v="555"/>
    <s v="Lisbon"/>
    <s v="Portugal"/>
    <n v="7209.45"/>
  </r>
  <r>
    <n v="10636"/>
    <d v="2022-12-14T00:00:00"/>
    <x v="4"/>
    <n v="9.9499999999999993"/>
    <s v="Online "/>
    <x v="0"/>
    <s v="Joao Silva"/>
    <n v="222"/>
    <s v="Lisbon"/>
    <s v="Portugal"/>
    <n v="2208.8999999999996"/>
  </r>
  <r>
    <n v="10637"/>
    <d v="2022-12-14T00:00:00"/>
    <x v="0"/>
    <n v="3.49"/>
    <s v="Online "/>
    <x v="0"/>
    <s v="Joao Silva"/>
    <n v="631"/>
    <s v="Lisbon"/>
    <s v="Portugal"/>
    <n v="2202.19"/>
  </r>
  <r>
    <n v="10638"/>
    <d v="2022-12-14T00:00:00"/>
    <x v="1"/>
    <n v="2.95"/>
    <s v="Online "/>
    <x v="0"/>
    <s v="Joao Silva"/>
    <n v="678"/>
    <s v="Lisbon"/>
    <s v="Portugal"/>
    <n v="2000.1000000000001"/>
  </r>
  <r>
    <n v="10639"/>
    <d v="2022-12-14T00:00:00"/>
    <x v="2"/>
    <n v="4.99"/>
    <s v="Online "/>
    <x v="0"/>
    <s v="Joao Silva"/>
    <n v="201"/>
    <s v="Lisbon"/>
    <s v="Portugal"/>
    <n v="1002.99"/>
  </r>
  <r>
    <n v="10640"/>
    <d v="2022-12-15T00:00:00"/>
    <x v="3"/>
    <n v="12.99"/>
    <s v="Online "/>
    <x v="0"/>
    <s v="Joao Silva"/>
    <n v="539"/>
    <s v="Lisbon"/>
    <s v="Portugal"/>
    <n v="7001.61"/>
  </r>
  <r>
    <n v="10641"/>
    <d v="2022-12-15T00:00:00"/>
    <x v="4"/>
    <n v="9.9499999999999993"/>
    <s v="Online "/>
    <x v="0"/>
    <s v="Joao Silva"/>
    <n v="222"/>
    <s v="Lisbon"/>
    <s v="Portugal"/>
    <n v="2208.8999999999996"/>
  </r>
  <r>
    <n v="10642"/>
    <d v="2022-12-15T00:00:00"/>
    <x v="0"/>
    <n v="3.49"/>
    <s v="Online "/>
    <x v="2"/>
    <s v="Joao Silva"/>
    <n v="631"/>
    <s v="Lisbon"/>
    <s v="Portugal"/>
    <n v="2202.19"/>
  </r>
  <r>
    <n v="10643"/>
    <d v="2022-12-15T00:00:00"/>
    <x v="1"/>
    <n v="2.95"/>
    <s v="Online "/>
    <x v="2"/>
    <s v="Joao Silva"/>
    <n v="678"/>
    <s v="Lisbon"/>
    <s v="Portugal"/>
    <n v="2000.1000000000001"/>
  </r>
  <r>
    <n v="10644"/>
    <d v="2022-12-15T00:00:00"/>
    <x v="2"/>
    <n v="4.99"/>
    <s v="Online "/>
    <x v="2"/>
    <s v="Joao Silva"/>
    <n v="201"/>
    <s v="Lisbon"/>
    <s v="Portugal"/>
    <n v="1002.99"/>
  </r>
  <r>
    <n v="10645"/>
    <d v="2022-12-16T00:00:00"/>
    <x v="3"/>
    <n v="12.99"/>
    <s v="Online "/>
    <x v="2"/>
    <s v="Joao Silva"/>
    <n v="570"/>
    <s v="Lisbon"/>
    <s v="Portugal"/>
    <n v="7404.3"/>
  </r>
  <r>
    <n v="10646"/>
    <d v="2022-12-16T00:00:00"/>
    <x v="4"/>
    <n v="9.9499999999999993"/>
    <s v="Online "/>
    <x v="2"/>
    <s v="Joao Silva"/>
    <n v="222"/>
    <s v="Lisbon"/>
    <s v="Portugal"/>
    <n v="2208.8999999999996"/>
  </r>
  <r>
    <n v="10647"/>
    <d v="2022-12-16T00:00:00"/>
    <x v="0"/>
    <n v="3.49"/>
    <s v="Online "/>
    <x v="0"/>
    <s v="Joao Silva"/>
    <n v="631"/>
    <s v="Lisbon"/>
    <s v="Portugal"/>
    <n v="2202.19"/>
  </r>
  <r>
    <n v="10648"/>
    <d v="2022-12-16T00:00:00"/>
    <x v="1"/>
    <n v="2.95"/>
    <s v="Online "/>
    <x v="0"/>
    <s v="Joao Silva"/>
    <n v="746"/>
    <s v="Lisbon"/>
    <s v="Portugal"/>
    <n v="2200.7000000000003"/>
  </r>
  <r>
    <n v="10649"/>
    <d v="2022-12-16T00:00:00"/>
    <x v="2"/>
    <n v="4.99"/>
    <s v="Online "/>
    <x v="0"/>
    <s v="Joao Silva"/>
    <n v="201"/>
    <s v="Lisbon"/>
    <s v="Portugal"/>
    <n v="1002.99"/>
  </r>
  <r>
    <n v="10650"/>
    <d v="2022-12-17T00:00:00"/>
    <x v="3"/>
    <n v="12.99"/>
    <s v="Online "/>
    <x v="0"/>
    <s v="Joao Silva"/>
    <n v="586"/>
    <s v="Lisbon"/>
    <s v="Portugal"/>
    <n v="7612.14"/>
  </r>
  <r>
    <n v="10651"/>
    <d v="2022-12-17T00:00:00"/>
    <x v="4"/>
    <n v="9.9499999999999993"/>
    <s v="Online "/>
    <x v="0"/>
    <s v="Joao Silva"/>
    <n v="222"/>
    <s v="Lisbon"/>
    <s v="Portugal"/>
    <n v="2208.8999999999996"/>
  </r>
  <r>
    <n v="10652"/>
    <d v="2022-12-17T00:00:00"/>
    <x v="0"/>
    <n v="3.49"/>
    <s v="Online "/>
    <x v="0"/>
    <s v="Joao Silva"/>
    <n v="688"/>
    <s v="Lisbon"/>
    <s v="Portugal"/>
    <n v="2401.1200000000003"/>
  </r>
  <r>
    <n v="10653"/>
    <d v="2022-12-17T00:00:00"/>
    <x v="1"/>
    <n v="2.95"/>
    <s v="Online "/>
    <x v="0"/>
    <s v="Joao Silva"/>
    <n v="746"/>
    <s v="Lisbon"/>
    <s v="Portugal"/>
    <n v="2200.7000000000003"/>
  </r>
  <r>
    <n v="10654"/>
    <d v="2022-12-17T00:00:00"/>
    <x v="2"/>
    <n v="4.99"/>
    <s v="Online "/>
    <x v="0"/>
    <s v="Joao Silva"/>
    <n v="201"/>
    <s v="Lisbon"/>
    <s v="Portugal"/>
    <n v="1002.99"/>
  </r>
  <r>
    <n v="10655"/>
    <d v="2022-12-18T00:00:00"/>
    <x v="3"/>
    <n v="12.99"/>
    <s v="Online "/>
    <x v="0"/>
    <s v="Joao Silva"/>
    <n v="601"/>
    <s v="Lisbon"/>
    <s v="Portugal"/>
    <n v="7806.99"/>
  </r>
  <r>
    <n v="10656"/>
    <d v="2022-12-18T00:00:00"/>
    <x v="4"/>
    <n v="9.9499999999999993"/>
    <s v="Online "/>
    <x v="0"/>
    <s v="Joao Silva"/>
    <n v="222"/>
    <s v="Lisbon"/>
    <s v="Portugal"/>
    <n v="2208.8999999999996"/>
  </r>
  <r>
    <n v="10657"/>
    <d v="2022-12-18T00:00:00"/>
    <x v="0"/>
    <n v="3.49"/>
    <s v="Online "/>
    <x v="0"/>
    <s v="Joao Silva"/>
    <n v="688"/>
    <s v="Lisbon"/>
    <s v="Portugal"/>
    <n v="2401.1200000000003"/>
  </r>
  <r>
    <n v="10658"/>
    <d v="2022-12-18T00:00:00"/>
    <x v="1"/>
    <n v="2.95"/>
    <s v="Online "/>
    <x v="2"/>
    <s v="Joao Silva"/>
    <n v="746"/>
    <s v="Lisbon"/>
    <s v="Portugal"/>
    <n v="2200.7000000000003"/>
  </r>
  <r>
    <n v="10659"/>
    <d v="2022-12-18T00:00:00"/>
    <x v="2"/>
    <n v="4.99"/>
    <s v="Online "/>
    <x v="2"/>
    <s v="Joao Silva"/>
    <n v="201"/>
    <s v="Lisbon"/>
    <s v="Portugal"/>
    <n v="1002.99"/>
  </r>
  <r>
    <n v="10660"/>
    <d v="2022-12-19T00:00:00"/>
    <x v="3"/>
    <n v="12.99"/>
    <s v="In-store "/>
    <x v="2"/>
    <s v="Joao Silva"/>
    <n v="632"/>
    <s v="Lisbon"/>
    <s v="Portugal"/>
    <n v="8209.68"/>
  </r>
  <r>
    <n v="10661"/>
    <d v="2022-12-19T00:00:00"/>
    <x v="4"/>
    <n v="9.9499999999999993"/>
    <s v="In-store "/>
    <x v="2"/>
    <s v="Joao Silva"/>
    <n v="222"/>
    <s v="Lisbon"/>
    <s v="Portugal"/>
    <n v="2208.8999999999996"/>
  </r>
  <r>
    <n v="10662"/>
    <d v="2022-12-19T00:00:00"/>
    <x v="0"/>
    <n v="3.49"/>
    <s v="In-store "/>
    <x v="2"/>
    <s v="Joao Silva"/>
    <n v="631"/>
    <s v="Lisbon"/>
    <s v="Portugal"/>
    <n v="2202.19"/>
  </r>
  <r>
    <n v="10663"/>
    <d v="2022-12-19T00:00:00"/>
    <x v="1"/>
    <n v="2.95"/>
    <s v="In-store "/>
    <x v="2"/>
    <s v="Joao Silva"/>
    <n v="746"/>
    <s v="Lisbon"/>
    <s v="Portugal"/>
    <n v="2200.7000000000003"/>
  </r>
  <r>
    <n v="10664"/>
    <d v="2022-12-19T00:00:00"/>
    <x v="2"/>
    <n v="4.99"/>
    <s v="In-store "/>
    <x v="2"/>
    <s v="Joao Silva"/>
    <n v="201"/>
    <s v="Lisbon"/>
    <s v="Portugal"/>
    <n v="1002.99"/>
  </r>
  <r>
    <n v="10665"/>
    <d v="2022-12-20T00:00:00"/>
    <x v="3"/>
    <n v="12.99"/>
    <s v="In-store "/>
    <x v="2"/>
    <s v="Joao Silva"/>
    <n v="647"/>
    <s v="Lisbon"/>
    <s v="Portugal"/>
    <n v="8404.5300000000007"/>
  </r>
  <r>
    <n v="10666"/>
    <d v="2022-12-20T00:00:00"/>
    <x v="4"/>
    <n v="9.9499999999999993"/>
    <s v="In-store "/>
    <x v="2"/>
    <s v="Joao Silva"/>
    <n v="222"/>
    <s v="Lisbon"/>
    <s v="Portugal"/>
    <n v="2208.8999999999996"/>
  </r>
  <r>
    <n v="10667"/>
    <d v="2022-12-20T00:00:00"/>
    <x v="0"/>
    <n v="3.49"/>
    <s v="In-store "/>
    <x v="2"/>
    <s v="Joao Silva"/>
    <n v="631"/>
    <s v="Lisbon"/>
    <s v="Portugal"/>
    <n v="2202.19"/>
  </r>
  <r>
    <n v="10668"/>
    <d v="2022-12-20T00:00:00"/>
    <x v="1"/>
    <n v="2.95"/>
    <s v="In-store "/>
    <x v="2"/>
    <s v="Joao Silva"/>
    <n v="746"/>
    <s v="Lisbon"/>
    <s v="Portugal"/>
    <n v="2200.7000000000003"/>
  </r>
  <r>
    <n v="10669"/>
    <d v="2022-12-20T00:00:00"/>
    <x v="2"/>
    <n v="4.99"/>
    <s v="In-store "/>
    <x v="2"/>
    <s v="Joao Silva"/>
    <n v="201"/>
    <s v="Lisbon"/>
    <s v="Portugal"/>
    <n v="1002.99"/>
  </r>
  <r>
    <n v="10670"/>
    <d v="2022-12-21T00:00:00"/>
    <x v="3"/>
    <n v="12.99"/>
    <s v="In-store "/>
    <x v="2"/>
    <s v="Joao Silva"/>
    <n v="678"/>
    <s v="Lisbon"/>
    <s v="Portugal"/>
    <n v="8807.2199999999993"/>
  </r>
  <r>
    <n v="10671"/>
    <d v="2022-12-21T00:00:00"/>
    <x v="4"/>
    <n v="9.9499999999999993"/>
    <s v="In-store "/>
    <x v="2"/>
    <s v="Joao Silva"/>
    <n v="222"/>
    <s v="Lisbon"/>
    <s v="Portugal"/>
    <n v="2208.8999999999996"/>
  </r>
  <r>
    <n v="10672"/>
    <d v="2022-12-21T00:00:00"/>
    <x v="0"/>
    <n v="3.49"/>
    <s v="In-store "/>
    <x v="2"/>
    <s v="Joao Silva"/>
    <n v="631"/>
    <s v="Lisbon"/>
    <s v="Portugal"/>
    <n v="2202.19"/>
  </r>
  <r>
    <n v="10673"/>
    <d v="2022-12-21T00:00:00"/>
    <x v="1"/>
    <n v="2.95"/>
    <s v="In-store "/>
    <x v="2"/>
    <s v="Joao Silva"/>
    <n v="746"/>
    <s v="Lisbon"/>
    <s v="Portugal"/>
    <n v="2200.7000000000003"/>
  </r>
  <r>
    <n v="10674"/>
    <d v="2022-12-21T00:00:00"/>
    <x v="2"/>
    <n v="4.99"/>
    <s v="In-store "/>
    <x v="2"/>
    <s v="Joao Silva"/>
    <n v="201"/>
    <s v="Lisbon"/>
    <s v="Portugal"/>
    <n v="1002.99"/>
  </r>
  <r>
    <n v="10675"/>
    <d v="2022-12-22T00:00:00"/>
    <x v="3"/>
    <n v="12.99"/>
    <s v="In-store "/>
    <x v="2"/>
    <s v="Joao Silva"/>
    <n v="678"/>
    <s v="Lisbon"/>
    <s v="Portugal"/>
    <n v="8807.2199999999993"/>
  </r>
  <r>
    <n v="10676"/>
    <d v="2022-12-22T00:00:00"/>
    <x v="4"/>
    <n v="9.9499999999999993"/>
    <s v="In-store "/>
    <x v="2"/>
    <s v="Joao Silva"/>
    <n v="242"/>
    <s v="Lisbon"/>
    <s v="Portugal"/>
    <n v="2407.8999999999996"/>
  </r>
  <r>
    <n v="10677"/>
    <d v="2022-12-22T00:00:00"/>
    <x v="0"/>
    <n v="3.49"/>
    <s v="In-store "/>
    <x v="2"/>
    <s v="Joao Silva"/>
    <n v="631"/>
    <s v="Lisbon"/>
    <s v="Portugal"/>
    <n v="2202.19"/>
  </r>
  <r>
    <n v="10678"/>
    <d v="2022-12-22T00:00:00"/>
    <x v="1"/>
    <n v="2.95"/>
    <s v="In-store "/>
    <x v="2"/>
    <s v="Joao Silva"/>
    <n v="746"/>
    <s v="Lisbon"/>
    <s v="Portugal"/>
    <n v="2200.7000000000003"/>
  </r>
  <r>
    <n v="10679"/>
    <d v="2022-12-22T00:00:00"/>
    <x v="2"/>
    <n v="4.99"/>
    <s v="In-store "/>
    <x v="2"/>
    <s v="Joao Silva"/>
    <n v="201"/>
    <s v="Lisbon"/>
    <s v="Portugal"/>
    <n v="1002.99"/>
  </r>
  <r>
    <n v="10680"/>
    <d v="2022-12-23T00:00:00"/>
    <x v="3"/>
    <n v="12.99"/>
    <s v="In-store "/>
    <x v="2"/>
    <s v="Joao Silva"/>
    <n v="647"/>
    <s v="Lisbon"/>
    <s v="Portugal"/>
    <n v="8404.5300000000007"/>
  </r>
  <r>
    <n v="10681"/>
    <d v="2022-12-23T00:00:00"/>
    <x v="4"/>
    <n v="9.9499999999999993"/>
    <s v="In-store "/>
    <x v="2"/>
    <s v="Joao Silva"/>
    <n v="242"/>
    <s v="Lisbon"/>
    <s v="Portugal"/>
    <n v="2407.8999999999996"/>
  </r>
  <r>
    <n v="10682"/>
    <d v="2022-12-23T00:00:00"/>
    <x v="0"/>
    <n v="3.49"/>
    <s v="In-store "/>
    <x v="2"/>
    <s v="Joao Silva"/>
    <n v="631"/>
    <s v="Lisbon"/>
    <s v="Portugal"/>
    <n v="2202.19"/>
  </r>
  <r>
    <n v="10683"/>
    <d v="2022-12-23T00:00:00"/>
    <x v="1"/>
    <n v="2.95"/>
    <s v="In-store "/>
    <x v="2"/>
    <s v="Joao Silva"/>
    <n v="678"/>
    <s v="Lisbon"/>
    <s v="Portugal"/>
    <n v="2000.1000000000001"/>
  </r>
  <r>
    <n v="10684"/>
    <d v="2022-12-23T00:00:00"/>
    <x v="2"/>
    <n v="4.99"/>
    <s v="In-store "/>
    <x v="2"/>
    <s v="Joao Silva"/>
    <n v="201"/>
    <s v="Lisbon"/>
    <s v="Portugal"/>
    <n v="1002.99"/>
  </r>
  <r>
    <n v="10685"/>
    <d v="2022-12-24T00:00:00"/>
    <x v="3"/>
    <n v="12.99"/>
    <s v="In-store "/>
    <x v="2"/>
    <s v="Joao Silva"/>
    <n v="678"/>
    <s v="Lisbon"/>
    <s v="Portugal"/>
    <n v="8807.2199999999993"/>
  </r>
  <r>
    <n v="10686"/>
    <d v="2022-12-24T00:00:00"/>
    <x v="4"/>
    <n v="9.9499999999999993"/>
    <s v="In-store "/>
    <x v="2"/>
    <s v="Joao Silva"/>
    <n v="242"/>
    <s v="Lisbon"/>
    <s v="Portugal"/>
    <n v="2407.8999999999996"/>
  </r>
  <r>
    <n v="10687"/>
    <d v="2022-12-24T00:00:00"/>
    <x v="0"/>
    <n v="3.49"/>
    <s v="In-store "/>
    <x v="2"/>
    <s v="Walter Muller"/>
    <n v="631"/>
    <s v="Berlin"/>
    <s v="#CONNECT!"/>
    <n v="2202.19"/>
  </r>
  <r>
    <n v="10688"/>
    <d v="2022-12-24T00:00:00"/>
    <x v="1"/>
    <n v="2.95"/>
    <s v="In-store "/>
    <x v="2"/>
    <s v="Walter Muller"/>
    <n v="678"/>
    <s v="Berlin"/>
    <s v="#CONNECT!"/>
    <n v="2000.1000000000001"/>
  </r>
  <r>
    <n v="10689"/>
    <d v="2022-12-24T00:00:00"/>
    <x v="2"/>
    <n v="4.99"/>
    <s v="In-store "/>
    <x v="2"/>
    <s v="Walter Muller"/>
    <n v="201"/>
    <s v="Berlin"/>
    <s v="#CONNECT!"/>
    <n v="1002.99"/>
  </r>
  <r>
    <n v="10690"/>
    <d v="2022-12-25T00:00:00"/>
    <x v="3"/>
    <n v="12.99"/>
    <s v="In-store "/>
    <x v="2"/>
    <s v="Walter Muller"/>
    <n v="678"/>
    <s v="Berlin"/>
    <s v="#CONNECT!"/>
    <n v="8807.2199999999993"/>
  </r>
  <r>
    <n v="10691"/>
    <d v="2022-12-25T00:00:00"/>
    <x v="4"/>
    <n v="9.9499999999999993"/>
    <s v="In-store "/>
    <x v="2"/>
    <s v="Walter Muller"/>
    <n v="262"/>
    <s v="Berlin"/>
    <s v="#CONNECT!"/>
    <n v="2606.8999999999996"/>
  </r>
  <r>
    <n v="10692"/>
    <d v="2022-12-25T00:00:00"/>
    <x v="0"/>
    <n v="3.49"/>
    <s v="In-store "/>
    <x v="2"/>
    <s v="Walter Muller"/>
    <n v="631"/>
    <s v="Berlin"/>
    <s v="#CONNECT!"/>
    <n v="2202.19"/>
  </r>
  <r>
    <n v="10693"/>
    <d v="2022-12-25T00:00:00"/>
    <x v="1"/>
    <n v="2.95"/>
    <s v="In-store "/>
    <x v="2"/>
    <s v="Walter Muller"/>
    <n v="678"/>
    <s v="Berlin"/>
    <s v="#CONNECT!"/>
    <n v="2000.1000000000001"/>
  </r>
  <r>
    <n v="10694"/>
    <d v="2022-12-25T00:00:00"/>
    <x v="2"/>
    <n v="4.99"/>
    <s v="In-store "/>
    <x v="2"/>
    <s v="Walter Muller"/>
    <n v="201"/>
    <s v="Berlin"/>
    <s v="#CONNECT!"/>
    <n v="1002.99"/>
  </r>
  <r>
    <n v="10695"/>
    <d v="2022-12-26T00:00:00"/>
    <x v="3"/>
    <n v="12.99"/>
    <s v="In-store "/>
    <x v="2"/>
    <s v="Walter Muller"/>
    <n v="693"/>
    <s v="Berlin"/>
    <s v="#CONNECT!"/>
    <n v="9002.07"/>
  </r>
  <r>
    <n v="10696"/>
    <d v="2022-12-26T00:00:00"/>
    <x v="4"/>
    <n v="9.9499999999999993"/>
    <s v="In-store "/>
    <x v="2"/>
    <s v="Walter Muller"/>
    <n v="282"/>
    <s v="Berlin"/>
    <s v="#CONNECT!"/>
    <n v="2805.8999999999996"/>
  </r>
  <r>
    <n v="10697"/>
    <d v="2022-12-26T00:00:00"/>
    <x v="0"/>
    <n v="3.49"/>
    <s v="In-store "/>
    <x v="2"/>
    <s v="Walter Muller"/>
    <n v="631"/>
    <s v="Berlin"/>
    <s v="#CONNECT!"/>
    <n v="2202.19"/>
  </r>
  <r>
    <n v="10698"/>
    <d v="2022-12-26T00:00:00"/>
    <x v="1"/>
    <n v="2.95"/>
    <s v="In-store "/>
    <x v="2"/>
    <s v="Walter Muller"/>
    <n v="678"/>
    <s v="Berlin"/>
    <s v="#CONNECT!"/>
    <n v="2000.1000000000001"/>
  </r>
  <r>
    <n v="10699"/>
    <d v="2022-12-26T00:00:00"/>
    <x v="2"/>
    <n v="4.99"/>
    <s v="In-store "/>
    <x v="2"/>
    <s v="Walter Muller"/>
    <n v="201"/>
    <s v="Berlin"/>
    <s v="#CONNECT!"/>
    <n v="1002.99"/>
  </r>
  <r>
    <n v="10700"/>
    <d v="2022-12-27T00:00:00"/>
    <x v="3"/>
    <n v="12.99"/>
    <s v="In-store "/>
    <x v="2"/>
    <s v="Walter Muller"/>
    <n v="693"/>
    <s v="Berlin"/>
    <s v="#CONNECT!"/>
    <n v="9002.07"/>
  </r>
  <r>
    <n v="10701"/>
    <d v="2022-12-27T00:00:00"/>
    <x v="4"/>
    <n v="9.9499999999999993"/>
    <s v="In-store "/>
    <x v="2"/>
    <s v="Walter Muller"/>
    <n v="282"/>
    <s v="Berlin"/>
    <s v="#CONNECT!"/>
    <n v="2805.8999999999996"/>
  </r>
  <r>
    <n v="10702"/>
    <d v="2022-12-27T00:00:00"/>
    <x v="0"/>
    <n v="3.49"/>
    <s v="In-store "/>
    <x v="2"/>
    <s v="Walter Muller"/>
    <n v="631"/>
    <s v="Berlin"/>
    <s v="#CONNECT!"/>
    <n v="2202.19"/>
  </r>
  <r>
    <n v="10703"/>
    <d v="2022-12-27T00:00:00"/>
    <x v="1"/>
    <n v="2.95"/>
    <s v="In-store "/>
    <x v="0"/>
    <s v="Walter Muller"/>
    <n v="678"/>
    <s v="Berlin"/>
    <s v="#CONNECT!"/>
    <n v="2000.1000000000001"/>
  </r>
  <r>
    <n v="10704"/>
    <d v="2022-12-27T00:00:00"/>
    <x v="2"/>
    <n v="4.99"/>
    <s v="Drive-thru "/>
    <x v="0"/>
    <s v="Walter Muller"/>
    <n v="201"/>
    <s v="Berlin"/>
    <s v="#CONNECT!"/>
    <n v="1002.99"/>
  </r>
  <r>
    <n v="10705"/>
    <d v="2022-12-28T00:00:00"/>
    <x v="3"/>
    <n v="12.99"/>
    <s v="Drive-thru "/>
    <x v="0"/>
    <s v="Walter Muller"/>
    <n v="724"/>
    <s v="Berlin"/>
    <s v="#CONNECT!"/>
    <n v="9404.76"/>
  </r>
  <r>
    <n v="10706"/>
    <d v="2022-12-28T00:00:00"/>
    <x v="4"/>
    <n v="9.9499999999999993"/>
    <s v="Drive-thru "/>
    <x v="0"/>
    <s v="Walter Muller"/>
    <n v="302"/>
    <s v="Berlin"/>
    <s v="#CONNECT!"/>
    <n v="3004.8999999999996"/>
  </r>
  <r>
    <n v="10707"/>
    <d v="2022-12-28T00:00:00"/>
    <x v="0"/>
    <n v="3.49"/>
    <s v="Drive-thru "/>
    <x v="0"/>
    <s v="Walter Muller"/>
    <n v="631"/>
    <s v="Berlin"/>
    <s v="#CONNECT!"/>
    <n v="2202.19"/>
  </r>
  <r>
    <n v="10708"/>
    <d v="2022-12-28T00:00:00"/>
    <x v="1"/>
    <n v="2.95"/>
    <s v="Drive-thru "/>
    <x v="0"/>
    <s v="Walter Muller"/>
    <n v="678"/>
    <s v="Berlin"/>
    <s v="#CONNECT!"/>
    <n v="2000.1000000000001"/>
  </r>
  <r>
    <n v="10709"/>
    <d v="2022-12-28T00:00:00"/>
    <x v="2"/>
    <n v="4.99"/>
    <s v="Drive-thru "/>
    <x v="0"/>
    <s v="Walter Muller"/>
    <n v="201"/>
    <s v="Berlin"/>
    <s v="#CONNECT!"/>
    <n v="1002.99"/>
  </r>
  <r>
    <n v="10710"/>
    <d v="2022-12-29T00:00:00"/>
    <x v="3"/>
    <n v="12.99"/>
    <s v="Drive-thru "/>
    <x v="0"/>
    <s v="Walter Muller"/>
    <n v="755"/>
    <s v="Berlin"/>
    <s v="#CONNECT!"/>
    <n v="9807.4500000000007"/>
  </r>
  <r>
    <n v="10711"/>
    <d v="2022-12-29T00:00:00"/>
    <x v="4"/>
    <n v="9.9499999999999993"/>
    <s v="Drive-thru "/>
    <x v="0"/>
    <s v="Walter Muller"/>
    <n v="282"/>
    <s v="Berlin"/>
    <s v="#CONNECT!"/>
    <n v="2805.8999999999996"/>
  </r>
  <r>
    <n v="10712"/>
    <d v="2022-12-29T00:00:00"/>
    <x v="0"/>
    <n v="3.49"/>
    <s v="Drive-thru "/>
    <x v="0"/>
    <s v="Walter Muller"/>
    <n v="631"/>
    <s v="Berlin"/>
    <s v="#CONNECT!"/>
    <n v="2202.19"/>
  </r>
  <r>
    <n v="10713"/>
    <d v="2022-12-29T00:00:00"/>
    <x v="1"/>
    <n v="2.95"/>
    <s v="Drive-thru "/>
    <x v="0"/>
    <s v="Walter Muller"/>
    <n v="678"/>
    <s v="Berlin"/>
    <s v="#CONNECT!"/>
    <n v="2000.1000000000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1A4DBB-406D-4CB2-82C9-6D2EB2A5BBD8}"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I15" firstHeaderRow="1" firstDataRow="1" firstDataCol="1"/>
  <pivotFields count="11">
    <pivotField showAll="0"/>
    <pivotField numFmtId="14" showAll="0"/>
    <pivotField showAll="0"/>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s>
  <rowFields count="1">
    <field x="5"/>
  </rowFields>
  <rowItems count="4">
    <i>
      <x v="1"/>
    </i>
    <i>
      <x/>
    </i>
    <i>
      <x v="2"/>
    </i>
    <i t="grand">
      <x/>
    </i>
  </rowItems>
  <colItems count="1">
    <i/>
  </colItems>
  <dataFields count="1">
    <dataField name="Sum of Revenue" fld="10"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F3CEA3-9B04-408C-984F-E9F71D7F7C84}"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4" firstHeaderRow="1" firstDataRow="1" firstDataCol="0"/>
  <pivotFields count="11">
    <pivotField showAll="0"/>
    <pivotField numFmtId="14" showAll="0"/>
    <pivotField showAll="0"/>
    <pivotField showAll="0"/>
    <pivotField showAll="0"/>
    <pivotField showAll="0"/>
    <pivotField showAll="0"/>
    <pivotField showAll="0"/>
    <pivotField showAll="0"/>
    <pivotField showAll="0"/>
    <pivotField dataField="1" showAll="0"/>
  </pivotFields>
  <rowItems count="1">
    <i/>
  </rowItems>
  <colItems count="1">
    <i/>
  </colItems>
  <dataFields count="1">
    <dataField name="Sum of Revenue"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CE84C3-A190-4D4B-BA60-27AF51902BDD}"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3:I9" firstHeaderRow="1" firstDataRow="1" firstDataCol="1"/>
  <pivotFields count="11">
    <pivotField showAll="0"/>
    <pivotField numFmtId="14" showAll="0"/>
    <pivotField axis="axisRow" showAll="0" sortType="descending">
      <items count="6">
        <item x="1"/>
        <item x="3"/>
        <item x="4"/>
        <item x="0"/>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s>
  <rowFields count="1">
    <field x="2"/>
  </rowFields>
  <rowItems count="6">
    <i>
      <x/>
    </i>
    <i>
      <x v="3"/>
    </i>
    <i>
      <x v="1"/>
    </i>
    <i>
      <x v="2"/>
    </i>
    <i>
      <x v="4"/>
    </i>
    <i t="grand">
      <x/>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 xmlns:xxpvi="http://schemas.microsoft.com/office/spreadsheetml/2022/pivotVersionInfo" uri="{9F748A41-CAEA-4470-BF7A-CE61E8FFA7F9}">
      <xxpvi:pivotVersionInfo>
        <xxpvi:lastUpdateFeature>RichData</xxpvi:lastUpdateFeature>
      </xxpvi:pivotVersionInfo>
    </ext>
  </extLst>
</pivotTableDefinition>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Lisbon" TargetMode="External"/><Relationship Id="rId13" Type="http://schemas.openxmlformats.org/officeDocument/2006/relationships/hyperlink" Target="https://www.bing.com/th?id=OSK.6f397b35762e2852058e1cfc4607f893&amp;qlt=95" TargetMode="External"/><Relationship Id="rId18" Type="http://schemas.openxmlformats.org/officeDocument/2006/relationships/hyperlink" Target="https://www.bing.com/images/search?form=xlimg&amp;q=spain" TargetMode="External"/><Relationship Id="rId3" Type="http://schemas.openxmlformats.org/officeDocument/2006/relationships/hyperlink" Target="https://www.bing.com/th?id=OSK.12f7533dca5f011065a431e87678062b&amp;qlt=95" TargetMode="External"/><Relationship Id="rId21" Type="http://schemas.openxmlformats.org/officeDocument/2006/relationships/hyperlink" Target="https://www.bing.com/th?id=AMMS_83f899973a13a6bc332ec9f56c3f6816&amp;qlt=95" TargetMode="External"/><Relationship Id="rId7" Type="http://schemas.openxmlformats.org/officeDocument/2006/relationships/hyperlink" Target="https://www.bing.com/th?id=OSK.afd232fc301bf2f60901c59a64d2fe66&amp;qlt=95" TargetMode="External"/><Relationship Id="rId12" Type="http://schemas.openxmlformats.org/officeDocument/2006/relationships/hyperlink" Target="https://www.bing.com/images/search?form=xlimg&amp;q=Berlin" TargetMode="External"/><Relationship Id="rId17" Type="http://schemas.openxmlformats.org/officeDocument/2006/relationships/hyperlink" Target="https://www.bing.com/th?id=AMMS_c8e707cdf8c98e126f2d5dde4447d146&amp;qlt=95" TargetMode="External"/><Relationship Id="rId2" Type="http://schemas.openxmlformats.org/officeDocument/2006/relationships/hyperlink" Target="https://www.bing.com/images/search?form=xlimg&amp;q=London" TargetMode="External"/><Relationship Id="rId16" Type="http://schemas.openxmlformats.org/officeDocument/2006/relationships/hyperlink" Target="https://www.bing.com/images/search?form=xlimg&amp;q=united+kingdom" TargetMode="External"/><Relationship Id="rId20" Type="http://schemas.openxmlformats.org/officeDocument/2006/relationships/hyperlink" Target="https://www.bing.com/images/search?form=xlimg&amp;q=lisbon+portugal" TargetMode="External"/><Relationship Id="rId1" Type="http://schemas.openxmlformats.org/officeDocument/2006/relationships/hyperlink" Target="https://www.bing.com/th?id=OSK.3666846595b7a7ef3fd0663d5b9791f3&amp;qlt=95" TargetMode="External"/><Relationship Id="rId6" Type="http://schemas.openxmlformats.org/officeDocument/2006/relationships/hyperlink" Target="https://www.bing.com/images/search?form=xlimg&amp;q=Spain" TargetMode="External"/><Relationship Id="rId11" Type="http://schemas.openxmlformats.org/officeDocument/2006/relationships/hyperlink" Target="https://www.bing.com/th?id=OSK.a1512a61cf778ac466208259f8dc24f5&amp;qlt=95" TargetMode="External"/><Relationship Id="rId24" Type="http://schemas.openxmlformats.org/officeDocument/2006/relationships/hyperlink" Target="https://www.bing.com/images/search?form=xlimg&amp;q=germany" TargetMode="External"/><Relationship Id="rId5" Type="http://schemas.openxmlformats.org/officeDocument/2006/relationships/hyperlink" Target="https://www.bing.com/th?id=OSK.2e5ae37a1125e977eb781fe1567bce8a&amp;qlt=95" TargetMode="External"/><Relationship Id="rId15" Type="http://schemas.openxmlformats.org/officeDocument/2006/relationships/hyperlink" Target="https://www.bing.com/th?id=AMMS_08d2869d43a589e2a364e67dfd999853&amp;qlt=95" TargetMode="External"/><Relationship Id="rId23" Type="http://schemas.openxmlformats.org/officeDocument/2006/relationships/hyperlink" Target="https://www.bing.com/th?id=AMMS_170e62536294e690a4ae289472616a73&amp;qlt=95" TargetMode="External"/><Relationship Id="rId10" Type="http://schemas.openxmlformats.org/officeDocument/2006/relationships/hyperlink" Target="https://www.bing.com/images/search?form=xlimg&amp;q=Portugal" TargetMode="External"/><Relationship Id="rId19" Type="http://schemas.openxmlformats.org/officeDocument/2006/relationships/hyperlink" Target="https://www.bing.com/th?id=AMMS_4e6ba38179bb5da098ec4c9929960d9c&amp;qlt=95" TargetMode="External"/><Relationship Id="rId4" Type="http://schemas.openxmlformats.org/officeDocument/2006/relationships/hyperlink" Target="https://www.bing.com/images/search?form=xlimg&amp;q=Madrid" TargetMode="External"/><Relationship Id="rId9" Type="http://schemas.openxmlformats.org/officeDocument/2006/relationships/hyperlink" Target="https://www.bing.com/th?id=OSK.2d7b7af86f9a55648a4aec7fbe3969e6&amp;qlt=95" TargetMode="External"/><Relationship Id="rId14" Type="http://schemas.openxmlformats.org/officeDocument/2006/relationships/hyperlink" Target="https://www.bing.com/images/search?form=xlimg&amp;q=Paris" TargetMode="External"/><Relationship Id="rId22" Type="http://schemas.openxmlformats.org/officeDocument/2006/relationships/hyperlink" Target="https://www.bing.com/images/search?form=xlimg&amp;q=portugal"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Srd>
</file>

<file path=xl/richData/rdarray.xml><?xml version="1.0" encoding="utf-8"?>
<arrayData xmlns="http://schemas.microsoft.com/office/spreadsheetml/2017/richdata2" count="41">
  <a r="1">
    <v t="r">7</v>
  </a>
  <a r="1">
    <v t="s">Greenwich Mean Time</v>
  </a>
  <a r="1">
    <v t="r">21</v>
  </a>
  <a r="2">
    <v t="r">45</v>
    <v t="r">46</v>
  </a>
  <a r="1">
    <v t="s">Spanish language</v>
  </a>
  <a r="18">
    <v t="r">65</v>
    <v t="r">66</v>
    <v t="r">16</v>
    <v t="r">67</v>
    <v t="r">68</v>
    <v t="r">69</v>
    <v t="r">70</v>
    <v t="r">71</v>
    <v t="r">72</v>
    <v t="r">73</v>
    <v t="r">74</v>
    <v t="r">75</v>
    <v t="r">76</v>
    <v t="r">77</v>
    <v t="r">78</v>
    <v t="r">79</v>
    <v t="r">80</v>
    <v t="r">81</v>
  </a>
  <a r="2">
    <v t="r">114</v>
    <v t="r">115</v>
  </a>
  <a r="1">
    <v t="s">Portuguese language</v>
  </a>
  <a r="20">
    <v t="r">89</v>
    <v t="r">134</v>
    <v t="r">135</v>
    <v t="r">136</v>
    <v t="r">137</v>
    <v t="r">138</v>
    <v t="r">139</v>
    <v t="r">140</v>
    <v t="r">141</v>
    <v t="r">142</v>
    <v t="r">143</v>
    <v t="r">144</v>
    <v t="r">145</v>
    <v t="r">146</v>
    <v t="r">147</v>
    <v t="r">148</v>
    <v t="r">149</v>
    <v t="r">150</v>
    <v t="r">151</v>
    <v t="r">152</v>
  </a>
  <a r="1">
    <v t="r">165</v>
  </a>
  <a r="1">
    <v t="s">German language</v>
  </a>
  <a r="1">
    <v t="r">178</v>
  </a>
  <a r="1">
    <v t="r">189</v>
  </a>
  <a r="2">
    <v t="s">British Summer Time</v>
    <v t="s">Greenwich Mean Time Zone</v>
  </a>
  <a r="4">
    <v t="r">213</v>
    <v t="r">214</v>
    <v t="r">215</v>
    <v t="r">216</v>
  </a>
  <a r="1">
    <v t="s">English</v>
  </a>
  <a r="150">
    <v t="r">235</v>
    <v t="r">236</v>
    <v t="r">237</v>
    <v t="r">185</v>
    <v t="r">238</v>
    <v t="r">239</v>
    <v t="r">240</v>
    <v t="r">241</v>
    <v t="r">242</v>
    <v t="r">243</v>
    <v t="r">244</v>
    <v t="r">245</v>
    <v t="r">246</v>
    <v t="r">247</v>
    <v t="r">248</v>
    <v t="r">249</v>
    <v t="r">250</v>
    <v t="r">251</v>
    <v t="r">252</v>
    <v t="r">253</v>
    <v t="r">254</v>
    <v t="r">255</v>
    <v t="r">256</v>
    <v t="r">257</v>
    <v t="r">258</v>
    <v t="r">259</v>
    <v t="r">260</v>
    <v t="r">261</v>
    <v t="r">262</v>
    <v t="r">263</v>
    <v t="r">264</v>
    <v t="r">265</v>
    <v t="r">266</v>
    <v t="r">267</v>
    <v t="r">268</v>
    <v t="r">269</v>
    <v t="r">270</v>
    <v t="r">271</v>
    <v t="r">272</v>
    <v t="r">273</v>
    <v t="r">274</v>
    <v t="r">275</v>
    <v t="r">276</v>
    <v t="r">277</v>
    <v t="r">278</v>
    <v t="r">279</v>
    <v t="r">280</v>
    <v t="r">281</v>
    <v t="r">282</v>
    <v t="r">283</v>
    <v t="r">284</v>
    <v t="r">285</v>
    <v t="r">286</v>
    <v t="r">287</v>
    <v t="r">288</v>
    <v t="r">289</v>
    <v t="r">290</v>
    <v t="r">291</v>
    <v t="r">292</v>
    <v t="r">293</v>
    <v t="r">294</v>
    <v t="r">295</v>
    <v t="r">296</v>
    <v t="r">297</v>
    <v t="r">298</v>
    <v t="r">299</v>
    <v t="r">300</v>
    <v t="r">301</v>
    <v t="r">302</v>
    <v t="r">303</v>
    <v t="r">304</v>
    <v t="r">305</v>
    <v t="r">306</v>
    <v t="r">307</v>
    <v t="r">308</v>
    <v t="r">309</v>
    <v t="r">310</v>
    <v t="r">311</v>
    <v t="r">312</v>
    <v t="r">313</v>
    <v t="r">314</v>
    <v t="r">315</v>
    <v t="r">316</v>
    <v t="r">317</v>
    <v t="r">318</v>
    <v t="r">319</v>
    <v t="r">320</v>
    <v t="r">321</v>
    <v t="r">322</v>
    <v t="r">323</v>
    <v t="r">324</v>
    <v t="r">325</v>
    <v t="r">326</v>
    <v t="r">327</v>
    <v t="r">328</v>
    <v t="r">329</v>
    <v t="r">330</v>
    <v t="r">331</v>
    <v t="r">332</v>
    <v t="r">333</v>
    <v t="r">334</v>
    <v t="r">335</v>
    <v t="r">336</v>
    <v t="r">337</v>
    <v t="r">338</v>
    <v t="r">339</v>
    <v t="r">340</v>
    <v t="r">341</v>
    <v t="r">342</v>
    <v t="r">343</v>
    <v t="r">344</v>
    <v t="r">345</v>
    <v t="r">346</v>
    <v t="r">347</v>
    <v t="r">348</v>
    <v t="r">349</v>
    <v t="s">Metropolitan Borough of Knowsley</v>
    <v t="r">350</v>
    <v t="s">Metropolitan Borough of Wirral</v>
    <v t="r">351</v>
    <v t="r">352</v>
    <v t="r">353</v>
    <v t="r">354</v>
    <v t="r">355</v>
    <v t="r">356</v>
    <v t="r">357</v>
    <v t="r">358</v>
    <v t="r">359</v>
    <v t="r">360</v>
    <v t="r">361</v>
    <v t="r">362</v>
    <v t="r">363</v>
    <v t="r">364</v>
    <v t="r">365</v>
    <v t="r">366</v>
    <v t="r">367</v>
    <v t="r">368</v>
    <v t="r">369</v>
    <v t="r">370</v>
    <v t="r">371</v>
    <v t="s">Outer Hebrides</v>
    <v t="r">372</v>
    <v t="r">373</v>
    <v t="r">374</v>
    <v t="r">375</v>
    <v t="r">376</v>
    <v t="r">377</v>
    <v t="r">378</v>
    <v t="r">379</v>
    <v t="r">380</v>
  </a>
  <a r="3">
    <v t="s">British Summer Time</v>
    <v t="s">Greenwich Mean Time Zone</v>
    <v t="s">Western European Time Zone</v>
  </a>
  <a r="2">
    <v t="s">José Luis Martínez-Almeida (Mayor)</v>
    <v t="r">393</v>
  </a>
  <a r="1">
    <v t="s">Central European Time Zone</v>
  </a>
  <a r="3">
    <v t="r">401</v>
    <v t="r">402</v>
    <v t="r">403</v>
  </a>
  <a r="1">
    <v t="s">Spanish</v>
  </a>
  <a r="59">
    <v t="r">407</v>
    <v t="r">408</v>
    <v t="r">409</v>
    <v t="r">410</v>
    <v t="r">389</v>
    <v t="r">411</v>
    <v t="r">412</v>
    <v t="r">413</v>
    <v t="r">414</v>
    <v t="r">415</v>
    <v t="r">416</v>
    <v t="r">417</v>
    <v t="r">418</v>
    <v t="r">419</v>
    <v t="r">420</v>
    <v t="r">421</v>
    <v t="r">422</v>
    <v t="r">423</v>
    <v t="r">424</v>
    <v t="s">Province of Cádiz</v>
    <v t="r">425</v>
    <v t="r">426</v>
    <v t="r">427</v>
    <v t="r">428</v>
    <v t="r">429</v>
    <v t="r">430</v>
    <v t="s">Province of Seville</v>
    <v t="s">Province of Granada</v>
    <v t="s">Province of Valladolid</v>
    <v t="r">431</v>
    <v t="r">432</v>
    <v t="s">Province of Segovia</v>
    <v t="r">433</v>
    <v t="s">Province of Palencia</v>
    <v t="r">434</v>
    <v t="r">435</v>
    <v t="r">436</v>
    <v t="r">437</v>
    <v t="r">438</v>
    <v t="r">439</v>
    <v t="r">440</v>
    <v t="r">441</v>
    <v t="s">Province of Jaén</v>
    <v t="r">442</v>
    <v t="r">443</v>
    <v t="r">444</v>
    <v t="r">445</v>
    <v t="r">446</v>
    <v t="s">Province of Burgos</v>
    <v t="s">Province of Málaga</v>
    <v t="r">447</v>
    <v t="s">Province of Huesca</v>
    <v t="s">Province of Soria</v>
    <v t="s">Province of Zamora</v>
    <v t="s">Province of Ciudad Real</v>
    <v t="s">Province of Teruel</v>
    <v t="s">Province of Guadalajara</v>
    <v t="r">448</v>
    <v t="s">Province of Las Palmas</v>
  </a>
  <a r="2">
    <v t="s">Central European Time Zone</v>
    <v t="s">Western European Time Zone</v>
  </a>
  <a r="2">
    <v t="s">Greenwich Mean Time Zone</v>
    <v t="s">Western European Time Zone</v>
  </a>
  <a r="2">
    <v t="r">461</v>
    <v t="r">462</v>
  </a>
  <a r="1">
    <v t="s">Portuguese</v>
  </a>
  <a r="20">
    <v t="r">466</v>
    <v t="r">453</v>
    <v t="r">467</v>
    <v t="r">468</v>
    <v t="r">469</v>
    <v t="r">470</v>
    <v t="r">471</v>
    <v t="r">472</v>
    <v t="r">473</v>
    <v t="r">474</v>
    <v t="r">475</v>
    <v t="r">476</v>
    <v t="r">477</v>
    <v t="r">478</v>
    <v t="r">479</v>
    <v t="r">480</v>
    <v t="r">481</v>
    <v t="r">482</v>
    <v t="r">483</v>
    <v t="r">484</v>
  </a>
  <a r="1">
    <v t="s">Western European Time Zone</v>
  </a>
  <a r="1">
    <v t="r">491</v>
  </a>
  <a r="3">
    <v t="s">Central European Summer Time</v>
    <v t="s">Central European Time Zone</v>
    <v t="s">W. Europe Standard Time</v>
  </a>
  <a r="4">
    <v t="r">513</v>
    <v t="r">514</v>
    <v t="r">515</v>
    <v t="r">515</v>
  </a>
  <a r="1">
    <v t="s">German</v>
  </a>
  <a r="16">
    <v t="r">533</v>
    <v t="r">488</v>
    <v t="r">534</v>
    <v t="r">535</v>
    <v t="r">536</v>
    <v t="r">537</v>
    <v t="s">Thuringia</v>
    <v t="r">538</v>
    <v t="r">539</v>
    <v t="r">540</v>
    <v t="r">541</v>
    <v t="r">542</v>
    <v t="r">543</v>
    <v t="r">544</v>
    <v t="r">545</v>
    <v t="r">546</v>
  </a>
  <a r="2">
    <v t="s">Central European Summer Time</v>
    <v t="s">Central European Time Zone</v>
  </a>
  <a r="1">
    <v t="r">558</v>
  </a>
  <a r="7">
    <v t="r">579</v>
    <v t="r">580</v>
    <v t="r">581</v>
    <v t="s">Jean Castex (Prime Minister)</v>
    <v t="r">582</v>
    <v t="r">583</v>
    <v t="r">584</v>
  </a>
  <a r="1">
    <v t="s">French</v>
  </a>
  <a r="132">
    <v t="r">602</v>
    <v t="r">554</v>
    <v t="r">603</v>
    <v t="s">Alsace</v>
    <v t="r">604</v>
    <v t="r">605</v>
    <v t="s">Brittany</v>
    <v t="s">Lorraine</v>
    <v t="r">606</v>
    <v t="r">607</v>
    <v t="r">608</v>
    <v t="r">609</v>
    <v t="r">610</v>
    <v t="r">611</v>
    <v t="r">612</v>
    <v t="r">613</v>
    <v t="r">614</v>
    <v t="r">615</v>
    <v t="r">616</v>
    <v t="s">Burgundy</v>
    <v t="s">Loire</v>
    <v t="r">617</v>
    <v t="s">Poitou-Charentes</v>
    <v t="r">618</v>
    <v t="r">619</v>
    <v t="r">620</v>
    <v t="r">621</v>
    <v t="r">622</v>
    <v t="r">623</v>
    <v t="r">624</v>
    <v t="s">Picardy</v>
    <v t="r">625</v>
    <v t="s">Limousin</v>
    <v t="r">626</v>
    <v t="r">627</v>
    <v t="s">Auvergne</v>
    <v t="r">628</v>
    <v t="r">629</v>
    <v t="s">Franche-Comté</v>
    <v t="r">630</v>
    <v t="s">Rhône-Alpes</v>
    <v t="s">Midi-Pyrénées</v>
    <v t="r">631</v>
    <v t="r">632</v>
    <v t="r">633</v>
    <v t="r">634</v>
    <v t="s">Languedoc-Roussillon</v>
    <v t="s">Nord-Pas-de-Calais</v>
    <v t="r">635</v>
    <v t="s">Aquitaine</v>
    <v t="r">636</v>
    <v t="r">637</v>
    <v t="r">638</v>
    <v t="r">639</v>
    <v t="r">640</v>
    <v t="r">641</v>
    <v t="r">642</v>
    <v t="r">643</v>
    <v t="r">644</v>
    <v t="r">645</v>
    <v t="r">646</v>
    <v t="r">647</v>
    <v t="r">648</v>
    <v t="r">649</v>
    <v t="r">650</v>
    <v t="r">651</v>
    <v t="r">652</v>
    <v t="r">653</v>
    <v t="r">654</v>
    <v t="r">655</v>
    <v t="r">656</v>
    <v t="r">657</v>
    <v t="r">658</v>
    <v t="r">659</v>
    <v t="r">660</v>
    <v t="r">661</v>
    <v t="r">662</v>
    <v t="r">663</v>
    <v t="r">664</v>
    <v t="r">665</v>
    <v t="r">666</v>
    <v t="r">667</v>
    <v t="r">668</v>
    <v t="r">669</v>
    <v t="r">670</v>
    <v t="r">671</v>
    <v t="r">672</v>
    <v t="r">673</v>
    <v t="r">674</v>
    <v t="r">675</v>
    <v t="r">676</v>
    <v t="r">677</v>
    <v t="r">678</v>
    <v t="r">679</v>
    <v t="r">680</v>
    <v t="r">681</v>
    <v t="r">682</v>
    <v t="r">683</v>
    <v t="r">684</v>
    <v t="r">685</v>
    <v t="r">686</v>
    <v t="r">687</v>
    <v t="r">688</v>
    <v t="r">689</v>
    <v t="r">690</v>
    <v t="r">691</v>
    <v t="r">692</v>
    <v t="r">693</v>
    <v t="r">694</v>
    <v t="r">695</v>
    <v t="r">696</v>
    <v t="r">697</v>
    <v t="r">698</v>
    <v t="r">699</v>
    <v t="r">700</v>
    <v t="r">701</v>
    <v t="r">702</v>
    <v t="r">703</v>
    <v t="r">704</v>
    <v t="r">705</v>
    <v t="r">706</v>
    <v t="r">707</v>
    <v t="r">708</v>
    <v t="s">Lower Normandy</v>
    <v t="s">Upper Normandy</v>
    <v t="r">709</v>
    <v t="r">710</v>
    <v t="r">711</v>
    <v t="r">712</v>
    <v t="r">713</v>
    <v t="r">714</v>
    <v t="s">Champagne-Ardenne</v>
  </a>
  <a r="258">
    <v t="r">0</v>
    <v t="r">15</v>
    <v t="r">88</v>
    <v t="r">159</v>
    <v t="r">159</v>
    <v t="r">172</v>
    <v t="r">159</v>
    <v t="r">172</v>
    <v t="r">172</v>
    <v t="r">172</v>
    <v t="r">172</v>
    <v t="r">172</v>
    <v t="r">15</v>
    <v t="r">15</v>
    <v t="r">15</v>
    <v t="r">15</v>
    <v t="r">15</v>
    <v t="r">15</v>
    <v t="r">15</v>
    <v t="r">15</v>
    <v t="r">15</v>
    <v t="r">15</v>
    <v t="r">15</v>
    <v t="r">15</v>
    <v t="r">15</v>
    <v t="r">15</v>
    <v t="r">15</v>
    <v t="r">15</v>
    <v t="r">88</v>
    <v t="r">88</v>
    <v t="r">88</v>
    <v t="r">88</v>
    <v t="r">88</v>
    <v t="r">88</v>
    <v t="r">88</v>
    <v t="r">15</v>
    <v t="r">15</v>
    <v t="r">15</v>
    <v t="r">15</v>
    <v t="r">15</v>
    <v t="r">15</v>
    <v t="r">15</v>
    <v t="r">15</v>
    <v t="r">15</v>
    <v t="r">15</v>
    <v t="r">15</v>
    <v t="r">15</v>
    <v t="r">15</v>
    <v t="r">15</v>
    <v t="r">15</v>
    <v t="r">15</v>
    <v t="r">15</v>
    <v t="r">15</v>
    <v t="r">15</v>
    <v t="r">15</v>
    <v t="r">15</v>
    <v t="r">15</v>
    <v t="r">88</v>
    <v t="r">88</v>
    <v t="r">88</v>
    <v t="r">88</v>
    <v t="r">88</v>
    <v t="r">88</v>
    <v t="r">88</v>
    <v t="r">88</v>
    <v t="r">88</v>
    <v t="r">172</v>
    <v t="r">172</v>
    <v t="r">172</v>
    <v t="r">172</v>
    <v t="r">172</v>
    <v t="r">172</v>
    <v t="r">172</v>
    <v t="r">172</v>
    <v t="r">172</v>
    <v t="r">172</v>
    <v t="r">172</v>
    <v t="r">172</v>
    <v t="r">88</v>
    <v t="r">88</v>
    <v t="r">15</v>
    <v t="r">15</v>
    <v t="r">15</v>
    <v t="r">15</v>
    <v t="r">15</v>
    <v t="r">15</v>
    <v t="r">15</v>
    <v t="r">0</v>
    <v t="r">0</v>
    <v t="r">0</v>
    <v t="r">0</v>
    <v t="r">0</v>
    <v t="r">0</v>
    <v t="r">0</v>
    <v t="r">0</v>
    <v t="r">0</v>
    <v t="r">0</v>
    <v t="r">0</v>
    <v t="r">0</v>
    <v t="r">0</v>
    <v t="r">0</v>
    <v t="r">0</v>
    <v t="r">0</v>
    <v t="r">0</v>
    <v t="r">0</v>
    <v t="r">0</v>
    <v t="r">0</v>
    <v t="r">0</v>
    <v t="r">0</v>
    <v t="r">0</v>
    <v t="r">0</v>
    <v t="r">0</v>
    <v t="r">0</v>
    <v t="r">0</v>
    <v t="r">0</v>
    <v t="r">0</v>
    <v t="r">0</v>
    <v t="r">0</v>
    <v t="r">172</v>
    <v t="r">172</v>
    <v t="r">172</v>
    <v t="r">172</v>
    <v t="r">172</v>
    <v t="r">172</v>
    <v t="r">172</v>
    <v t="r">172</v>
    <v t="r">172</v>
    <v t="r">172</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0</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88</v>
    <v t="r">159</v>
    <v t="r">159</v>
    <v t="r">159</v>
    <v t="r">159</v>
    <v t="r">159</v>
    <v t="r">159</v>
    <v t="r">159</v>
    <v t="r">159</v>
    <v t="r">159</v>
    <v t="r">159</v>
    <v t="r">159</v>
    <v t="r">159</v>
    <v t="r">159</v>
    <v t="r">159</v>
    <v t="r">159</v>
    <v t="r">159</v>
    <v t="r">159</v>
    <v t="r">159</v>
    <v t="r">159</v>
    <v t="r">159</v>
    <v t="r">159</v>
    <v t="r">159</v>
    <v t="r">159</v>
    <v t="r">159</v>
    <v t="r">159</v>
    <v t="r">159</v>
    <v t="r">159</v>
    <v t="i">2</v>
  </a>
  <a r="258">
    <v t="r">722</v>
    <v t="r">18</v>
    <v t="r">91</v>
    <v t="r">722</v>
    <v t="r">722</v>
    <v t="r">722</v>
    <v t="r">722</v>
    <v t="r">722</v>
    <v t="r">722</v>
    <v t="r">722</v>
    <v t="r">722</v>
    <v t="r">722</v>
    <v t="r">18</v>
    <v t="r">18</v>
    <v t="r">18</v>
    <v t="r">18</v>
    <v t="r">18</v>
    <v t="r">18</v>
    <v t="r">18</v>
    <v t="r">18</v>
    <v t="r">18</v>
    <v t="r">18</v>
    <v t="r">18</v>
    <v t="r">18</v>
    <v t="r">18</v>
    <v t="r">18</v>
    <v t="r">18</v>
    <v t="r">18</v>
    <v t="r">91</v>
    <v t="r">91</v>
    <v t="r">91</v>
    <v t="r">91</v>
    <v t="r">91</v>
    <v t="r">91</v>
    <v t="r">91</v>
    <v t="r">18</v>
    <v t="r">18</v>
    <v t="r">18</v>
    <v t="r">18</v>
    <v t="r">18</v>
    <v t="r">18</v>
    <v t="r">18</v>
    <v t="r">18</v>
    <v t="r">18</v>
    <v t="r">18</v>
    <v t="r">18</v>
    <v t="r">18</v>
    <v t="r">18</v>
    <v t="r">18</v>
    <v t="r">18</v>
    <v t="r">18</v>
    <v t="r">18</v>
    <v t="r">18</v>
    <v t="r">18</v>
    <v t="r">18</v>
    <v t="r">18</v>
    <v t="r">18</v>
    <v t="r">91</v>
    <v t="r">91</v>
    <v t="r">91</v>
    <v t="r">91</v>
    <v t="r">91</v>
    <v t="r">91</v>
    <v t="r">91</v>
    <v t="r">91</v>
    <v t="r">91</v>
    <v t="r">722</v>
    <v t="r">722</v>
    <v t="r">722</v>
    <v t="r">722</v>
    <v t="r">722</v>
    <v t="r">722</v>
    <v t="r">722</v>
    <v t="r">722</v>
    <v t="r">722</v>
    <v t="r">722</v>
    <v t="r">722</v>
    <v t="r">722</v>
    <v t="r">91</v>
    <v t="r">91</v>
    <v t="r">18</v>
    <v t="r">18</v>
    <v t="r">18</v>
    <v t="r">18</v>
    <v t="r">18</v>
    <v t="r">18</v>
    <v t="r">18</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722</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91</v>
    <v t="r">722</v>
    <v t="r">722</v>
    <v t="r">722</v>
    <v t="r">722</v>
    <v t="r">722</v>
    <v t="r">722</v>
    <v t="r">722</v>
    <v t="r">722</v>
    <v t="r">722</v>
    <v t="r">722</v>
    <v t="r">722</v>
    <v t="r">722</v>
    <v t="r">722</v>
    <v t="r">722</v>
    <v t="r">722</v>
    <v t="r">722</v>
    <v t="r">722</v>
    <v t="r">722</v>
    <v t="r">722</v>
    <v t="r">722</v>
    <v t="r">722</v>
    <v t="r">722</v>
    <v t="r">722</v>
    <v t="r">722</v>
    <v t="r">722</v>
    <v t="r">722</v>
    <v t="r">722</v>
    <v t="i">2</v>
  </a>
</arrayData>
</file>

<file path=xl/richData/rdrichvalue.xml><?xml version="1.0" encoding="utf-8"?>
<rvData xmlns="http://schemas.microsoft.com/office/spreadsheetml/2017/richdata" count="725">
  <rv s="0">
    <v>536870912</v>
    <v>London</v>
    <v>8e0ba7b6-4225-fa8a-6369-1b5294e602a5</v>
    <v>en-MY</v>
    <v>Map</v>
  </rv>
  <rv s="0">
    <v>536870912</v>
    <v>England</v>
    <v>280d39e8-7217-6863-6980-a8c20c211c89</v>
    <v>en-MY</v>
    <v>Map</v>
  </rv>
  <rv s="0">
    <v>536870912</v>
    <v>Greater London</v>
    <v>2ba8a441-178c-f2c0-26cb-a4b260b8c806</v>
    <v>en-MY</v>
    <v>Map</v>
  </rv>
  <rv s="1">
    <fb>1572</fb>
    <v>8</v>
  </rv>
  <rv s="0">
    <v>536870912</v>
    <v>United Kingdom of Great Britain and Ireland</v>
    <v>0538d165-f2b4-64c9-9745-179dd804d95b</v>
    <v>en-MY</v>
    <v>Map</v>
  </rv>
  <rv s="2">
    <v>0</v>
    <v>6</v>
    <v>0</v>
    <v>7</v>
    <v>0</v>
    <v>Image of London</v>
  </rv>
  <rv s="1">
    <fb>51.507222222221998</fb>
    <v>9</v>
  </rv>
  <rv s="0">
    <v>805306368</v>
    <v>Sadiq Khan (Mayor)</v>
    <v>d7862dc2-4c03-1dc8-3412-7fe03041fdcb</v>
    <v>en-MY</v>
    <v>Generic</v>
  </rv>
  <rv s="3">
    <v>0</v>
  </rv>
  <rv s="4">
    <v>https://www.bing.com/search?q=london+england&amp;form=skydnc</v>
    <v>Learn more on Bing</v>
  </rv>
  <rv s="1">
    <fb>-0.1275</fb>
    <v>9</v>
  </rv>
  <rv s="1">
    <fb>8799728</fb>
    <v>8</v>
  </rv>
  <rv s="3">
    <v>1</v>
  </rv>
  <rv s="5">
    <v>#VALUE!</v>
    <v>en-MY</v>
    <v>8e0ba7b6-4225-fa8a-6369-1b5294e602a5</v>
    <v>536870912</v>
    <v>1</v>
    <v>1</v>
    <v>2</v>
    <v>London</v>
    <v>4</v>
    <v>5</v>
    <v>Map</v>
    <v>6</v>
    <v>7</v>
    <v>1</v>
    <v>2</v>
    <v>3</v>
    <v>4</v>
    <v>London is the capital and largest city of England and the United Kingdom, with a population of around 8.8 million. It stands on the River Thames in south-east England at the head of a 50-mile estuary down to the North Sea and has been a major ...</v>
    <v>5</v>
    <v>6</v>
    <v>8</v>
    <v>9</v>
    <v>10</v>
    <v>London</v>
    <v>11</v>
    <v>12</v>
    <v>London</v>
    <v>mdp/vdpid/5471798185326280713</v>
  </rv>
  <rv s="6">
    <v>9</v>
    <v>6</v>
  </rv>
  <rv s="0">
    <v>536870912</v>
    <v>Madrid</v>
    <v>a497c067-c4c6-4bf4-9a5d-34fd30589bda</v>
    <v>en-MY</v>
    <v>Map</v>
  </rv>
  <rv s="0">
    <v>536870912</v>
    <v>Community of Madrid</v>
    <v>854c08ed-f6d7-c812-1a3f-46928ae0597e</v>
    <v>en-MY</v>
    <v>Map</v>
  </rv>
  <rv s="1">
    <fb>604.45510000000002</fb>
    <v>8</v>
  </rv>
  <rv s="0">
    <v>536870912</v>
    <v>Spain</v>
    <v>1baf9d59-f443-e9f4-6e49-de048a073e3f</v>
    <v>en-MY</v>
    <v>Map</v>
  </rv>
  <rv s="2">
    <v>1</v>
    <v>6</v>
    <v>10</v>
    <v>7</v>
    <v>0</v>
    <v>Image of Madrid</v>
  </rv>
  <rv s="1">
    <fb>40.416944444444397</fb>
    <v>9</v>
  </rv>
  <rv s="0">
    <v>805306368</v>
    <v>José Luis Martínez-Almeida (Mayor)</v>
    <v>d059f89e-9389-5fff-d365-894d7aefd20e</v>
    <v>en-MY</v>
    <v>Generic</v>
  </rv>
  <rv s="3">
    <v>2</v>
  </rv>
  <rv s="4">
    <v>https://www.bing.com/search?q=madrid+spain&amp;form=skydnc</v>
    <v>Learn more on Bing</v>
  </rv>
  <rv s="1">
    <fb>-3.70333333333333</fb>
    <v>9</v>
  </rv>
  <rv s="1">
    <fb>3280782</fb>
    <v>8</v>
  </rv>
  <rv s="7">
    <v>#VALUE!</v>
    <v>en-MY</v>
    <v>a497c067-c4c6-4bf4-9a5d-34fd30589bda</v>
    <v>536870912</v>
    <v>1</v>
    <v>11</v>
    <v>12</v>
    <v>Madrid</v>
    <v>4</v>
    <v>5</v>
    <v>Map</v>
    <v>6</v>
    <v>13</v>
    <v>16</v>
    <v>17</v>
    <v>18</v>
    <v>Madrid is the capital and most populous city of Spain. The city has almost 3.4 million inhabitants and a metropolitan area population of approximately 6.7 million. It is the second-largest city in the European Union, and its monocentric ...</v>
    <v>19</v>
    <v>20</v>
    <v>22</v>
    <v>23</v>
    <v>24</v>
    <v>Madrid</v>
    <v>25</v>
    <v>Madrid</v>
    <v>mdp/vdpid/5669357583933112321</v>
  </rv>
  <rv s="1">
    <fb>0.52577247440306896</fb>
    <v>33</v>
  </rv>
  <rv s="1">
    <fb>505990</fb>
    <v>8</v>
  </rv>
  <rv s="1">
    <fb>196000</fb>
    <v>8</v>
  </rv>
  <rv s="1">
    <fb>7.9</fb>
    <v>34</v>
  </rv>
  <rv s="1">
    <fb>34</fb>
    <v>35</v>
  </rv>
  <rv s="1">
    <fb>244002.18</fb>
    <v>8</v>
  </rv>
  <rv s="1">
    <fb>110.96151904206</fb>
    <v>36</v>
  </rv>
  <rv s="1">
    <fb>6.9953624171701497E-3</fb>
    <v>33</v>
  </rv>
  <rv s="1">
    <fb>5355.9870055822103</fb>
    <v>8</v>
  </rv>
  <rv s="1">
    <fb>1.26</fb>
    <v>34</v>
  </rv>
  <rv s="1">
    <fb>0.36936209528965797</fb>
    <v>33</v>
  </rv>
  <rv s="1">
    <fb>72.955546118337793</fb>
    <v>37</v>
  </rv>
  <rv s="1">
    <fb>1.26</fb>
    <v>38</v>
  </rv>
  <rv s="1">
    <fb>1394116310768.6299</fb>
    <v>39</v>
  </rv>
  <rv s="1">
    <fb>1.0271029</fb>
    <v>33</v>
  </rv>
  <rv s="1">
    <fb>0.88853009999999999</fb>
    <v>33</v>
  </rv>
  <rv s="2">
    <v>2</v>
    <v>6</v>
    <v>16</v>
    <v>7</v>
    <v>0</v>
    <v>Image of Spain</v>
  </rv>
  <rv s="1">
    <fb>2.5</fb>
    <v>37</v>
  </rv>
  <rv s="0">
    <v>805306368</v>
    <v>Felipe VI (Monarch)</v>
    <v>ec86fb82-ddbc-286a-d1a7-3644682c1efc</v>
    <v>en-MY</v>
    <v>Generic</v>
  </rv>
  <rv s="0">
    <v>805306368</v>
    <v>Pedro Sánchez (Prime minister)</v>
    <v>9e0d6cf3-f466-7b6f-0a92-aa23020fc120</v>
    <v>en-MY</v>
    <v>Generic</v>
  </rv>
  <rv s="3">
    <v>3</v>
  </rv>
  <rv s="4">
    <v>https://www.bing.com/search?q=spain&amp;form=skydnc</v>
    <v>Learn more on Bing</v>
  </rv>
  <rv s="1">
    <fb>83.334146341463395</fb>
    <v>37</v>
  </rv>
  <rv s="1">
    <fb>797285840000</fb>
    <v>39</v>
  </rv>
  <rv s="1">
    <fb>4</fb>
    <v>37</v>
  </rv>
  <rv s="1">
    <fb>5.6</fb>
    <v>38</v>
  </rv>
  <rv s="3">
    <v>4</v>
  </rv>
  <rv s="1">
    <fb>0.24229018520000001</fb>
    <v>33</v>
  </rv>
  <rv s="1">
    <fb>3.8723000000000001</fb>
    <v>34</v>
  </rv>
  <rv s="1">
    <fb>47615034</fb>
    <v>8</v>
  </rv>
  <rv s="1">
    <fb>0.23399999999999999</fb>
    <v>33</v>
  </rv>
  <rv s="1">
    <fb>0.254</fb>
    <v>33</v>
  </rv>
  <rv s="1">
    <fb>0.41</fb>
    <v>33</v>
  </rv>
  <rv s="1">
    <fb>2.1000000000000001E-2</fb>
    <v>33</v>
  </rv>
  <rv s="1">
    <fb>6.2E-2</fb>
    <v>33</v>
  </rv>
  <rv s="1">
    <fb>0.122</fb>
    <v>33</v>
  </rv>
  <rv s="1">
    <fb>0.17199999999999999</fb>
    <v>33</v>
  </rv>
  <rv s="1">
    <fb>0.57492000579834002</fb>
    <v>33</v>
  </rv>
  <rv s="0">
    <v>536870912</v>
    <v>Andalusia</v>
    <v>b009454b-b921-1477-fbf3-ea4c66d409b5</v>
    <v>en-MY</v>
    <v>Map</v>
  </rv>
  <rv s="0">
    <v>536870912</v>
    <v>Catalonia</v>
    <v>54afd4ed-d6c4-c6c9-2f8d-10440795b196</v>
    <v>en-MY</v>
    <v>Map</v>
  </rv>
  <rv s="0">
    <v>536870912</v>
    <v>Land of Valencia</v>
    <v>d1a45f13-aca9-6854-cb23-92573a279216</v>
    <v>en-MY</v>
    <v>Map</v>
  </rv>
  <rv s="0">
    <v>536870912</v>
    <v>Galicia</v>
    <v>70c91f08-f55c-f98a-047e-aa9228ed4253</v>
    <v>en-MY</v>
    <v>Map</v>
  </rv>
  <rv s="0">
    <v>536870912</v>
    <v>Castile and León</v>
    <v>7fc8f34d-7f31-b8c6-34d4-545cb3920adf</v>
    <v>en-MY</v>
    <v>Map</v>
  </rv>
  <rv s="0">
    <v>536870912</v>
    <v>Basque Autonomous Community</v>
    <v>27cbb013-d521-0f66-7c87-67bad92e92f5</v>
    <v>en-MY</v>
    <v>Map</v>
  </rv>
  <rv s="0">
    <v>536870912</v>
    <v>Canary Islands</v>
    <v>e5f4f633-d27e-9012-be27-a85d7ed21999</v>
    <v>en-MY</v>
    <v>Map</v>
  </rv>
  <rv s="0">
    <v>536870912</v>
    <v>Castile-La Mancha</v>
    <v>1e79c598-5619-e707-75d9-40410db3c0b2</v>
    <v>en-MY</v>
    <v>Map</v>
  </rv>
  <rv s="0">
    <v>536870912</v>
    <v>Region of Murcia</v>
    <v>e697a468-5c9d-9a42-68ac-b04781a55abd</v>
    <v>en-MY</v>
    <v>Map</v>
  </rv>
  <rv s="0">
    <v>536870912</v>
    <v>Aragon</v>
    <v>66482df7-7a8d-eb53-1b74-7702eb8f6ab7</v>
    <v>en-MY</v>
    <v>Map</v>
  </rv>
  <rv s="0">
    <v>536870912</v>
    <v>Asturias</v>
    <v>6880b28a-27ed-46a3-3b3f-93553df34103</v>
    <v>en-MY</v>
    <v>Map</v>
  </rv>
  <rv s="0">
    <v>536870912</v>
    <v>Extremadura</v>
    <v>60c245e4-f9c9-d637-1ff7-50148c20166f</v>
    <v>en-MY</v>
    <v>Map</v>
  </rv>
  <rv s="0">
    <v>536870912</v>
    <v>Navarre</v>
    <v>bd2c46e0-0dec-2a95-cf06-e23728a2a0ed</v>
    <v>en-MY</v>
    <v>Map</v>
  </rv>
  <rv s="0">
    <v>536870912</v>
    <v>Cantabria</v>
    <v>ff0ffbe3-172a-ecd8-17cd-6f2f89c9d0dd</v>
    <v>en-MY</v>
    <v>Map</v>
  </rv>
  <rv s="0">
    <v>536870912</v>
    <v>La Rioja</v>
    <v>c27fd34e-d1ab-5145-cc6e-9d85b07f919e</v>
    <v>en-MY</v>
    <v>Map</v>
  </rv>
  <rv s="0">
    <v>536870912</v>
    <v>Ceuta</v>
    <v>4575b2d9-4933-9d93-b84d-3080054b3dda</v>
    <v>en-MY</v>
    <v>Map</v>
  </rv>
  <rv s="0">
    <v>536870912</v>
    <v>Melilla</v>
    <v>a67b3afb-47dd-d884-afd6-0794c4de12ba</v>
    <v>en-MY</v>
    <v>Map</v>
  </rv>
  <rv s="3">
    <v>5</v>
  </rv>
  <rv s="1">
    <fb>0.14248211393678101</fb>
    <v>33</v>
  </rv>
  <rv s="1">
    <fb>0.47</fb>
    <v>33</v>
  </rv>
  <rv s="1">
    <fb>0.13958999633789099</fb>
    <v>40</v>
  </rv>
  <rv s="1">
    <fb>37927409</fb>
    <v>8</v>
  </rv>
  <rv s="8">
    <v>#VALUE!</v>
    <v>en-MY</v>
    <v>1baf9d59-f443-e9f4-6e49-de048a073e3f</v>
    <v>536870912</v>
    <v>1</v>
    <v>30</v>
    <v>31</v>
    <v>Spain</v>
    <v>4</v>
    <v>5</v>
    <v>Map</v>
    <v>6</v>
    <v>32</v>
    <v>ES</v>
    <v>27</v>
    <v>28</v>
    <v>29</v>
    <v>30</v>
    <v>31</v>
    <v>15</v>
    <v>32</v>
    <v>33</v>
    <v>34</v>
    <v>EUR</v>
    <v>Spain, or the Kingdom of Spain, is a country located in Southwestern Europe, with parts of its territory in the Atlantic Ocean, the Mediterranean Sea and Africa. It is the largest country in Southern Europe and the fourth-most populous European ...</v>
    <v>35</v>
    <v>36</v>
    <v>37</v>
    <v>38</v>
    <v>39</v>
    <v>40</v>
    <v>41</v>
    <v>42</v>
    <v>43</v>
    <v>44</v>
    <v>15</v>
    <v>47</v>
    <v>48</v>
    <v>49</v>
    <v>50</v>
    <v>51</v>
    <v>52</v>
    <v>Spain</v>
    <v>Marcha Real</v>
    <v>53</v>
    <v>Reino de España</v>
    <v>54</v>
    <v>55</v>
    <v>56</v>
    <v>57</v>
    <v>58</v>
    <v>59</v>
    <v>60</v>
    <v>61</v>
    <v>62</v>
    <v>63</v>
    <v>64</v>
    <v>82</v>
    <v>83</v>
    <v>84</v>
    <v>85</v>
    <v>Spain</v>
    <v>86</v>
    <v>mdp/vdpid/217</v>
  </rv>
  <rv s="0">
    <v>536870912</v>
    <v>Lisbon</v>
    <v>9d006cb5-bff4-48b4-9c83-443eaf418b11</v>
    <v>en-MY</v>
    <v>Map</v>
  </rv>
  <rv s="0">
    <v>536870912</v>
    <v>Lisbon District</v>
    <v>9aabe4c9-f2ff-745a-22b7-741589d147d3</v>
    <v>en-MY</v>
    <v>Map</v>
  </rv>
  <rv s="1">
    <fb>100.05</fb>
    <v>8</v>
  </rv>
  <rv s="0">
    <v>536870912</v>
    <v>Portugal</v>
    <v>9e917e65-c588-a0b7-f336-52fc6b5b2052</v>
    <v>en-MY</v>
    <v>Map</v>
  </rv>
  <rv s="2">
    <v>3</v>
    <v>6</v>
    <v>41</v>
    <v>7</v>
    <v>0</v>
    <v>Image of Lisbon</v>
  </rv>
  <rv s="4">
    <v>https://www.bing.com/search?q=lisbon+portugal&amp;form=skydnc</v>
    <v>Learn more on Bing</v>
  </rv>
  <rv s="1">
    <fb>545923</fb>
    <v>8</v>
  </rv>
  <rv s="9">
    <v>#VALUE!</v>
    <v>en-MY</v>
    <v>9d006cb5-bff4-48b4-9c83-443eaf418b11</v>
    <v>536870912</v>
    <v>1</v>
    <v>42</v>
    <v>43</v>
    <v>Lisbon</v>
    <v>4</v>
    <v>5</v>
    <v>Map</v>
    <v>6</v>
    <v>7</v>
    <v>89</v>
    <v>90</v>
    <v>91</v>
    <v>Lisbon is the capital and largest city of Portugal, with an estimated population of 548,703 within its administrative limits in an area of 100.05 km². About 2.9 million people live in the Lisbon metropolitan area, which extends beyond the city's ...</v>
    <v>92</v>
    <v>93</v>
    <v>Lisbon</v>
    <v>94</v>
    <v>Lisbon</v>
    <v>mdp/vdpid/161498680</v>
  </rv>
  <rv s="1">
    <fb>0.39452940398253294</fb>
    <v>33</v>
  </rv>
  <rv s="1">
    <fb>92225</fb>
    <v>8</v>
  </rv>
  <rv s="1">
    <fb>52000</fb>
    <v>8</v>
  </rv>
  <rv s="1">
    <fb>8.5</fb>
    <v>34</v>
  </rv>
  <rv s="1">
    <fb>351</fb>
    <v>35</v>
  </rv>
  <rv s="1">
    <fb>48741.764000000003</fb>
    <v>8</v>
  </rv>
  <rv s="1">
    <fb>110.624358614714</fb>
    <v>36</v>
  </rv>
  <rv s="1">
    <fb>3.3817841004612497E-3</fb>
    <v>33</v>
  </rv>
  <rv s="1">
    <fb>4662.6007998029399</fb>
    <v>8</v>
  </rv>
  <rv s="1">
    <fb>1.38</fb>
    <v>34</v>
  </rv>
  <rv s="1">
    <fb>0.34611423825368903</fb>
    <v>33</v>
  </rv>
  <rv s="1">
    <fb>77.024122555839</fb>
    <v>37</v>
  </rv>
  <rv s="1">
    <fb>1.54</fb>
    <v>38</v>
  </rv>
  <rv s="1">
    <fb>237686075634.698</fb>
    <v>39</v>
  </rv>
  <rv s="1">
    <fb>1.0618313000000001</fb>
    <v>33</v>
  </rv>
  <rv s="1">
    <fb>0.63935809999999993</fb>
    <v>33</v>
  </rv>
  <rv s="2">
    <v>4</v>
    <v>6</v>
    <v>45</v>
    <v>7</v>
    <v>0</v>
    <v>Image of Portugal</v>
  </rv>
  <rv s="1">
    <fb>3.1</fb>
    <v>37</v>
  </rv>
  <rv s="0">
    <v>805306368</v>
    <v>Marcelo Rebelo de Sousa (President)</v>
    <v>cd15af88-d571-7e9f-0e69-8c7f54821ed3</v>
    <v>en-MY</v>
    <v>Generic</v>
  </rv>
  <rv s="0">
    <v>805306368</v>
    <v>António Costa (Prime minister)</v>
    <v>461f25f6-d38c-4199-a2e3-c82f6d34e8cb</v>
    <v>en-MY</v>
    <v>Generic</v>
  </rv>
  <rv s="3">
    <v>6</v>
  </rv>
  <rv s="4">
    <v>https://www.bing.com/search?q=portugal&amp;form=skydnc</v>
    <v>Learn more on Bing</v>
  </rv>
  <rv s="1">
    <fb>81.3243902439024</fb>
    <v>37</v>
  </rv>
  <rv s="1">
    <fb>61933604857.411003</fb>
    <v>39</v>
  </rv>
  <rv s="1">
    <fb>8</fb>
    <v>37</v>
  </rv>
  <rv s="1">
    <fb>3.78</fb>
    <v>38</v>
  </rv>
  <rv s="3">
    <v>7</v>
  </rv>
  <rv s="1">
    <fb>0.27650697260000001</fb>
    <v>33</v>
  </rv>
  <rv s="1">
    <fb>5.1239999999999997</fb>
    <v>34</v>
  </rv>
  <rv s="1">
    <fb>10379007</fb>
    <v>8</v>
  </rv>
  <rv s="1">
    <fb>0.221</fb>
    <v>33</v>
  </rv>
  <rv s="1">
    <fb>0.26700000000000002</fb>
    <v>33</v>
  </rv>
  <rv s="1">
    <fb>0.41600000000000004</fb>
    <v>33</v>
  </rv>
  <rv s="1">
    <fb>2.7000000000000003E-2</fb>
    <v>33</v>
  </rv>
  <rv s="1">
    <fb>7.400000000000001E-2</fb>
    <v>33</v>
  </rv>
  <rv s="1">
    <fb>0.124</fb>
    <v>33</v>
  </rv>
  <rv s="1">
    <fb>0.16500000000000001</fb>
    <v>33</v>
  </rv>
  <rv s="1">
    <fb>0.58811000823974602</fb>
    <v>33</v>
  </rv>
  <rv s="0">
    <v>536870912</v>
    <v>Leiria District</v>
    <v>1e45c3ae-38a6-3ec3-3187-2e72c0cad027</v>
    <v>en-MY</v>
    <v>Map</v>
  </rv>
  <rv s="0">
    <v>536870912</v>
    <v>Santarém District</v>
    <v>31ed3d3b-1669-48e6-9f45-7dff6e48107b</v>
    <v>en-MY</v>
    <v>Map</v>
  </rv>
  <rv s="0">
    <v>536870912</v>
    <v>Setúbal District</v>
    <v>2443fa57-ba7a-ca6f-6988-b7bb998c209d</v>
    <v>en-MY</v>
    <v>Map</v>
  </rv>
  <rv s="0">
    <v>536870912</v>
    <v>Beja District</v>
    <v>57132a4f-ab86-49cc-9a10-eea78fe194c6</v>
    <v>en-MY</v>
    <v>Map</v>
  </rv>
  <rv s="0">
    <v>536870912</v>
    <v>Faro District</v>
    <v>0f961e40-6a20-4ce7-9c8b-3c9484a39b31</v>
    <v>en-MY</v>
    <v>Map</v>
  </rv>
  <rv s="0">
    <v>536870912</v>
    <v>Évora District</v>
    <v>9f2c1154-ba9c-42db-b07d-6ac93b22f847</v>
    <v>en-MY</v>
    <v>Map</v>
  </rv>
  <rv s="0">
    <v>536870912</v>
    <v>Portalegre District</v>
    <v>0509a564-38fa-4a46-85bd-79ea9cfb105b</v>
    <v>en-MY</v>
    <v>Map</v>
  </rv>
  <rv s="0">
    <v>536870912</v>
    <v>Castelo Branco District</v>
    <v>fb4769a8-e791-44cf-b415-49b116c2d850</v>
    <v>en-MY</v>
    <v>Map</v>
  </rv>
  <rv s="0">
    <v>536870912</v>
    <v>Guarda District</v>
    <v>a6ab4e89-16d3-c736-2651-53af26e5c9fb</v>
    <v>en-MY</v>
    <v>Map</v>
  </rv>
  <rv s="0">
    <v>536870912</v>
    <v>Coimbra District</v>
    <v>eaabde58-df44-d3f2-fcaf-2eb0b0c892ca</v>
    <v>en-MY</v>
    <v>Map</v>
  </rv>
  <rv s="0">
    <v>536870912</v>
    <v>Aveiro District</v>
    <v>2448fddc-7ab4-4061-c990-7ee0e882b83f</v>
    <v>en-MY</v>
    <v>Map</v>
  </rv>
  <rv s="0">
    <v>536870912</v>
    <v>Viseu District</v>
    <v>4af2c91e-a2d9-03c8-4bcc-d0e611b7a836</v>
    <v>en-MY</v>
    <v>Map</v>
  </rv>
  <rv s="0">
    <v>536870912</v>
    <v>Bragança District</v>
    <v>511e9c5a-156c-4018-b440-d68a04fdd311</v>
    <v>en-MY</v>
    <v>Map</v>
  </rv>
  <rv s="0">
    <v>536870912</v>
    <v>Vila Real District</v>
    <v>16491095-1ede-45bc-b4f9-d0b768b902b4</v>
    <v>en-MY</v>
    <v>Map</v>
  </rv>
  <rv s="0">
    <v>536870912</v>
    <v>Porto District</v>
    <v>ab024f06-dfa0-f5d5-2ace-323a59e1c03f</v>
    <v>en-MY</v>
    <v>Map</v>
  </rv>
  <rv s="0">
    <v>536870912</v>
    <v>Braga District</v>
    <v>bf9b0bf5-80ec-1d9e-e2bb-f15cfff91b3f</v>
    <v>en-MY</v>
    <v>Map</v>
  </rv>
  <rv s="0">
    <v>536870912</v>
    <v>Viana do Castelo District</v>
    <v>e82c5675-25b8-35f8-dd22-1d162bbc45bd</v>
    <v>en-MY</v>
    <v>Map</v>
  </rv>
  <rv s="0">
    <v>536870912</v>
    <v>Madeira</v>
    <v>fd1c338d-a716-e095-102a-5ac3106ddd68</v>
    <v>en-MY</v>
    <v>Map</v>
  </rv>
  <rv s="0">
    <v>536870912</v>
    <v>Azores</v>
    <v>162558d5-afd4-4b00-9d00-54ad16880f8b</v>
    <v>en-MY</v>
    <v>Map</v>
  </rv>
  <rv s="3">
    <v>8</v>
  </rv>
  <rv s="1">
    <fb>0.227551770073532</fb>
    <v>33</v>
  </rv>
  <rv s="1">
    <fb>0.39799999999999996</fb>
    <v>33</v>
  </rv>
  <rv s="1">
    <fb>6.33400011062622E-2</fb>
    <v>40</v>
  </rv>
  <rv s="1">
    <fb>6753579</fb>
    <v>8</v>
  </rv>
  <rv s="8">
    <v>#VALUE!</v>
    <v>en-MY</v>
    <v>9e917e65-c588-a0b7-f336-52fc6b5b2052</v>
    <v>536870912</v>
    <v>1</v>
    <v>48</v>
    <v>31</v>
    <v>Portugal</v>
    <v>4</v>
    <v>5</v>
    <v>Map</v>
    <v>6</v>
    <v>49</v>
    <v>PT</v>
    <v>96</v>
    <v>97</v>
    <v>98</v>
    <v>99</v>
    <v>100</v>
    <v>88</v>
    <v>101</v>
    <v>102</v>
    <v>103</v>
    <v>EUR</v>
    <v>Portugal, officially the Portuguese Republic, is a country located on the Iberian Peninsula, in Southwestern Europe, and whose territory also includes the macaronesian archipelagos of the Azores and Madeira. It features the westernmost point in ...</v>
    <v>104</v>
    <v>105</v>
    <v>106</v>
    <v>107</v>
    <v>108</v>
    <v>109</v>
    <v>110</v>
    <v>111</v>
    <v>112</v>
    <v>113</v>
    <v>88</v>
    <v>116</v>
    <v>117</v>
    <v>118</v>
    <v>119</v>
    <v>120</v>
    <v>121</v>
    <v>Portugal</v>
    <v>A Portuguesa</v>
    <v>122</v>
    <v>Portugalská republika</v>
    <v>123</v>
    <v>124</v>
    <v>125</v>
    <v>126</v>
    <v>127</v>
    <v>128</v>
    <v>129</v>
    <v>130</v>
    <v>131</v>
    <v>132</v>
    <v>133</v>
    <v>153</v>
    <v>154</v>
    <v>155</v>
    <v>156</v>
    <v>Portugal</v>
    <v>157</v>
    <v>mdp/vdpid/193</v>
  </rv>
  <rv s="0">
    <v>536870912</v>
    <v>Berlin</v>
    <v>42784943-7c23-7672-5527-06f89b965cdf</v>
    <v>en-MY</v>
    <v>Map</v>
  </rv>
  <rv s="1">
    <fb>891.12</fb>
    <v>8</v>
  </rv>
  <rv s="0">
    <v>536870912</v>
    <v>North German Confederation</v>
    <v>0fdff00d-df45-056a-304e-eca9fa962669</v>
    <v>en-MY</v>
    <v>Map</v>
  </rv>
  <rv s="1">
    <fb>1794936</fb>
    <v>8</v>
  </rv>
  <rv s="1">
    <fb>1868905</fb>
    <v>8</v>
  </rv>
  <rv s="2">
    <v>5</v>
    <v>6</v>
    <v>50</v>
    <v>7</v>
    <v>0</v>
    <v>Image of Berlin</v>
  </rv>
  <rv s="0">
    <v>805306368</v>
    <v>Franziska Giffey (Mayor)</v>
    <v>0f36a115-cd69-74b0-1ad8-5ee6074d7916</v>
    <v>en-MY</v>
    <v>Generic</v>
  </rv>
  <rv s="3">
    <v>9</v>
  </rv>
  <rv s="4">
    <v>https://www.bing.com/search?q=berlin+germany&amp;form=skydnc</v>
    <v>Learn more on Bing</v>
  </rv>
  <rv s="3">
    <v>10</v>
  </rv>
  <rv s="1">
    <fb>1.83</fb>
    <v>34</v>
  </rv>
  <rv s="1">
    <fb>3755251</fb>
    <v>8</v>
  </rv>
  <rv s="10">
    <v>#VALUE!</v>
    <v>en-MY</v>
    <v>42784943-7c23-7672-5527-06f89b965cdf</v>
    <v>536870912</v>
    <v>1</v>
    <v>53</v>
    <v>54</v>
    <v>Berlin</v>
    <v>4</v>
    <v>5</v>
    <v>Map</v>
    <v>6</v>
    <v>55</v>
    <v>DE-BE</v>
    <v>160</v>
    <v>161</v>
    <v>Berlin is the capital and largest city of Germany by both area and population. Its more than 3.85 million inhabitants make it the European Union's most populous city, according to population within city limits. One of Germany's sixteen ...</v>
    <v>162</v>
    <v>163</v>
    <v>164</v>
    <v>166</v>
    <v>167</v>
    <v>Berlin</v>
    <v>168</v>
    <v>169</v>
    <v>170</v>
    <v>Berlin</v>
    <v>mdp/vdpid/7017957146650214401</v>
  </rv>
  <rv s="0">
    <v>536870912</v>
    <v>Paris</v>
    <v>85584d24-2116-5b98-89f9-5714db931ac6</v>
    <v>en-MY</v>
    <v>Map</v>
  </rv>
  <rv s="0">
    <v>536870912</v>
    <v>Île-de-France</v>
    <v>ba200862-fc37-6d22-3434-c6e709faa507</v>
    <v>en-MY</v>
    <v>Map</v>
  </rv>
  <rv s="1">
    <fb>105.4</fb>
    <v>8</v>
  </rv>
  <rv s="0">
    <v>536870912</v>
    <v>French First Republic</v>
    <v>6b82fc53-2110-cfe7-64fe-f1bb78c06a9c</v>
    <v>en-MY</v>
    <v>Map</v>
  </rv>
  <rv s="2">
    <v>6</v>
    <v>6</v>
    <v>56</v>
    <v>7</v>
    <v>0</v>
    <v>Image of Paris</v>
  </rv>
  <rv s="1">
    <fb>48.856666666666698</fb>
    <v>9</v>
  </rv>
  <rv s="0">
    <v>805306368</v>
    <v>Anne Hidalgo (Mayor)</v>
    <v>f26212ed-b25d-e4f8-ecf0-85777b9d38cf</v>
    <v>en-MY</v>
    <v>Generic</v>
  </rv>
  <rv s="3">
    <v>11</v>
  </rv>
  <rv s="4">
    <v>https://www.bing.com/search?q=paris+france&amp;form=skydnc</v>
    <v>Learn more on Bing</v>
  </rv>
  <rv s="1">
    <fb>2.35222222222222</fb>
    <v>9</v>
  </rv>
  <rv s="1">
    <fb>2145906</fb>
    <v>8</v>
  </rv>
  <rv s="7">
    <v>#VALUE!</v>
    <v>en-MY</v>
    <v>85584d24-2116-5b98-89f9-5714db931ac6</v>
    <v>536870912</v>
    <v>1</v>
    <v>57</v>
    <v>12</v>
    <v>Paris</v>
    <v>4</v>
    <v>5</v>
    <v>Map</v>
    <v>6</v>
    <v>58</v>
    <v>173</v>
    <v>174</v>
    <v>175</v>
    <v>Paris is the capital and most populous city of France. With an official estimated population of 2,102,650 residents as of 1 January 2023 in an area of more than 105 km², Paris is the fifth-most populated city in the European Union and the 30th ...</v>
    <v>176</v>
    <v>177</v>
    <v>179</v>
    <v>180</v>
    <v>181</v>
    <v>Paris</v>
    <v>182</v>
    <v>Paris</v>
    <v>mdp/vdpid/7012570570818584578</v>
  </rv>
  <rv s="0">
    <v>536870912</v>
    <v>London</v>
    <v>8e0ba7b6-4225-fa8a-6369-1b5294e602a5</v>
    <v>en-GB</v>
    <v>Map</v>
  </rv>
  <rv s="0">
    <v>536870912</v>
    <v>England</v>
    <v>280d39e8-7217-6863-6980-a8c20c211c89</v>
    <v>en-GB</v>
    <v>Map</v>
  </rv>
  <rv s="0">
    <v>536870912</v>
    <v>Greater London</v>
    <v>2ba8a441-178c-f2c0-26cb-a4b260b8c806</v>
    <v>en-GB</v>
    <v>Map</v>
  </rv>
  <rv s="0">
    <v>536870912</v>
    <v>United Kingdom</v>
    <v>b1a5155a-6bb2-4646-8f7c-3e6b3a53c831</v>
    <v>en-GB</v>
    <v>Map</v>
  </rv>
  <rv s="1">
    <fb>51.500152399999997</fb>
    <v>9</v>
  </rv>
  <rv s="0">
    <v>805306368</v>
    <v>Sadiq Khan (Mayor)</v>
    <v>d7862dc2-4c03-1dc8-3412-7fe03041fdcb</v>
    <v>en-GB</v>
    <v>Generic</v>
  </rv>
  <rv s="3">
    <v>12</v>
  </rv>
  <rv s="1">
    <fb>-0.12623619999999999</fb>
    <v>9</v>
  </rv>
  <rv s="1">
    <fb>9002488</fb>
    <v>8</v>
  </rv>
  <rv s="3">
    <v>13</v>
  </rv>
  <rv s="11">
    <v>#VALUE!</v>
    <v>en-GB</v>
    <v>8e0ba7b6-4225-fa8a-6369-1b5294e602a5</v>
    <v>536870912</v>
    <v>1</v>
    <v>63</v>
    <v>64</v>
    <v>London</v>
    <v>66</v>
    <v>67</v>
    <v>Map</v>
    <v>6</v>
    <v>7</v>
    <v>185</v>
    <v>186</v>
    <v>3</v>
    <v>187</v>
    <v>London is the capital and largest city of England and the United Kingdom, with a population of just over 9 million. It stands on the River Thames in south-east England at the head of a 50-mile estuary down to the North Sea, and has been a major settlement for two millennia. The City of London, its ancient core and financial centre, was founded by the Romans as Londinium and retains boundaries close to its medieval ones. Since the 19th century, the name "London" has also referred to the metropolis around this core, historically split between the counties of Middlesex, Essex, Surrey, Kent, and Hertfordshire, which largely comprises Greater London, governed by the Greater London Authority. The City of Westminster, to the west of the City of London, has for centuries held the national government and parliament.</v>
    <v>188</v>
    <v>190</v>
    <v>9</v>
    <v>191</v>
    <v>London</v>
    <v>192</v>
    <v>193</v>
    <v>London</v>
    <v>mdp/vdpid/5471798185326280713</v>
  </rv>
  <rv s="1">
    <fb>0.71714878141404492</fb>
    <v>33</v>
  </rv>
  <rv s="1">
    <fb>243610</fb>
    <v>8</v>
  </rv>
  <rv s="1">
    <fb>148000</fb>
    <v>8</v>
  </rv>
  <rv s="1">
    <fb>11</fb>
    <v>34</v>
  </rv>
  <rv s="1">
    <fb>44</fb>
    <v>35</v>
  </rv>
  <rv s="1">
    <fb>379024.78700000001</fb>
    <v>8</v>
  </rv>
  <rv s="1">
    <fb>119.622711300166</fb>
    <v>36</v>
  </rv>
  <rv s="1">
    <fb>1.7381046008651101E-2</fb>
    <v>33</v>
  </rv>
  <rv s="1">
    <fb>5129.5277927901998</fb>
    <v>8</v>
  </rv>
  <rv s="1">
    <fb>1.68</fb>
    <v>34</v>
  </rv>
  <rv s="1">
    <fb>0.130657628239573</fb>
    <v>33</v>
  </rv>
  <rv s="1">
    <fb>80.351771267255202</fb>
    <v>37</v>
  </rv>
  <rv s="1">
    <fb>1.46</fb>
    <v>38</v>
  </rv>
  <rv s="1">
    <fb>2827113184695.5801</fb>
    <v>39</v>
  </rv>
  <rv s="1">
    <fb>1.0115456</fb>
    <v>33</v>
  </rv>
  <rv s="1">
    <fb>0.59995569999999998</fb>
    <v>33</v>
  </rv>
  <rv s="2">
    <v>7</v>
    <v>6</v>
    <v>80</v>
    <v>6</v>
    <v>0</v>
    <v>Image of United Kingdom</v>
  </rv>
  <rv s="1">
    <fb>3.6</fb>
    <v>37</v>
  </rv>
  <rv s="0">
    <v>805306368</v>
    <v>Boris Johnson (Prime Minister)</v>
    <v>fe217755-2d46-1c61-dded-740ff4500899</v>
    <v>en-GB</v>
    <v>Generic</v>
  </rv>
  <rv s="0">
    <v>805306368</v>
    <v>Justine Greening (Minister)</v>
    <v>7aff4253-0f04-ea8e-9418-a9ef69475621</v>
    <v>en-GB</v>
    <v>Generic</v>
  </rv>
  <rv s="0">
    <v>805306368</v>
    <v>Nadhim Zahawi (Minister)</v>
    <v>394346ee-f3b1-c53c-2bcd-8d22bdee8814</v>
    <v>en-GB</v>
    <v>Generic</v>
  </rv>
  <rv s="0">
    <v>805306368</v>
    <v>Natalie Evans, Baroness Evans of Bowes Park (Minister)</v>
    <v>fcf767e2-c1da-d731-e0f0-696a3bd436b5</v>
    <v>en-GB</v>
    <v>Generic</v>
  </rv>
  <rv s="3">
    <v>14</v>
  </rv>
  <rv s="4">
    <v>https://www.bing.com/search?q=united+kingdom&amp;form=skydnc</v>
    <v>Learn more on Bing</v>
  </rv>
  <rv s="1">
    <fb>81.256097560975604</fb>
    <v>37</v>
  </rv>
  <rv s="1">
    <fb>1868152970000</fb>
    <v>39</v>
  </rv>
  <rv s="1">
    <fb>7</fb>
    <v>37</v>
  </rv>
  <rv s="1">
    <fb>10.130000000000001</fb>
    <v>38</v>
  </rv>
  <rv s="3">
    <v>15</v>
  </rv>
  <rv s="1">
    <fb>0.14794489889999998</fb>
    <v>33</v>
  </rv>
  <rv s="1">
    <fb>2.8117000000000001</fb>
    <v>34</v>
  </rv>
  <rv s="1">
    <fb>66834405</fb>
    <v>8</v>
  </rv>
  <rv s="1">
    <fb>0.22500000000000001</fb>
    <v>33</v>
  </rv>
  <rv s="1">
    <fb>0.26800000000000002</fb>
    <v>33</v>
  </rv>
  <rv s="1">
    <fb>0.42100000000000004</fb>
    <v>33</v>
  </rv>
  <rv s="1">
    <fb>2.7999999999999997E-2</fb>
    <v>33</v>
  </rv>
  <rv s="1">
    <fb>7.0999999999999994E-2</fb>
    <v>33</v>
  </rv>
  <rv s="1">
    <fb>0.11900000000000001</fb>
    <v>33</v>
  </rv>
  <rv s="1">
    <fb>0.16399999999999998</fb>
    <v>33</v>
  </rv>
  <rv s="1">
    <fb>0.62773998260497998</fb>
    <v>33</v>
  </rv>
  <rv s="0">
    <v>536870912</v>
    <v>Devon</v>
    <v>5ad1bd45-b1d3-1dd7-13e3-f0ecea97ece7</v>
    <v>en-GB</v>
    <v>Map</v>
  </rv>
  <rv s="0">
    <v>536870912</v>
    <v>Somerset</v>
    <v>2b333df9-032c-c9b1-0d74-88ea8c5befbd</v>
    <v>en-GB</v>
    <v>Map</v>
  </rv>
  <rv s="0">
    <v>536870912</v>
    <v>Lancashire</v>
    <v>d2ddd91b-d3db-c97c-d4e1-b66d033659fa</v>
    <v>en-GB</v>
    <v>Map</v>
  </rv>
  <rv s="0">
    <v>536870912</v>
    <v>Liverpool</v>
    <v>a5642e81-20ab-a561-17cc-52a63926b210</v>
    <v>en-GB</v>
    <v>Map</v>
  </rv>
  <rv s="0">
    <v>536870912</v>
    <v>Newcastle upon Tyne</v>
    <v>e1ab16e3-5050-dafb-7e90-7ceb4efd055d</v>
    <v>en-GB</v>
    <v>Map</v>
  </rv>
  <rv s="0">
    <v>536870912</v>
    <v>City of London</v>
    <v>3513d611-e6ca-408d-8d00-c93a427d32ad</v>
    <v>en-GB</v>
    <v>Map</v>
  </rv>
  <rv s="0">
    <v>536870912</v>
    <v>Stoke-on-Trent</v>
    <v>2efa6384-eb20-dbf0-d19a-2c63f3b239fb</v>
    <v>en-GB</v>
    <v>Map</v>
  </rv>
  <rv s="0">
    <v>536870912</v>
    <v>Cornwall</v>
    <v>7ce7e82d-6d0f-f7b6-daf4-9018d403a859</v>
    <v>en-GB</v>
    <v>Map</v>
  </rv>
  <rv s="0">
    <v>536870912</v>
    <v>Derbyshire</v>
    <v>a3be3ce0-6a5c-7632-5ef1-6034834ffe0e</v>
    <v>en-GB</v>
    <v>Map</v>
  </rv>
  <rv s="0">
    <v>536870912</v>
    <v>Worcestershire</v>
    <v>92b6b35e-17f8-7d50-a89b-650c809a2158</v>
    <v>en-GB</v>
    <v>Map</v>
  </rv>
  <rv s="0">
    <v>536870912</v>
    <v>Norfolk</v>
    <v>1f7d5120-8b19-7582-e7d0-2351c715f854</v>
    <v>en-GB</v>
    <v>Map</v>
  </rv>
  <rv s="0">
    <v>536870912</v>
    <v>Lincolnshire</v>
    <v>1b1b62b6-be46-b598-310b-b10fe8c992b8</v>
    <v>en-GB</v>
    <v>Map</v>
  </rv>
  <rv s="0">
    <v>536870912</v>
    <v>Northamptonshire</v>
    <v>6b5ff743-48aa-7f30-4bfe-97eeede8e6fa</v>
    <v>en-GB</v>
    <v>Map</v>
  </rv>
  <rv s="0">
    <v>536870912</v>
    <v>Surrey</v>
    <v>4e00ff19-370b-4752-b12d-9b5088a81c75</v>
    <v>en-GB</v>
    <v>Map</v>
  </rv>
  <rv s="0">
    <v>536870912</v>
    <v>Shropshire</v>
    <v>620367d1-f8ad-2237-2ba3-9bd995d6cb3e</v>
    <v>en-GB</v>
    <v>Map</v>
  </rv>
  <rv s="0">
    <v>536870912</v>
    <v>Isle of Wight</v>
    <v>95d8ced0-437b-28ff-5329-8fbf91940733</v>
    <v>en-GB</v>
    <v>Map</v>
  </rv>
  <rv s="0">
    <v>536870912</v>
    <v>Buckinghamshire</v>
    <v>ff464c2a-d8cf-cd5b-431b-50f9494b808a</v>
    <v>en-GB</v>
    <v>Map</v>
  </rv>
  <rv s="0">
    <v>536870912</v>
    <v>Wiltshire</v>
    <v>4ebe79fa-f77b-5216-7ef9-f8ea04679349</v>
    <v>en-GB</v>
    <v>Map</v>
  </rv>
  <rv s="0">
    <v>536870912</v>
    <v>Coventry</v>
    <v>452272b4-d4d5-224d-223b-58b995e82185</v>
    <v>en-GB</v>
    <v>Map</v>
  </rv>
  <rv s="0">
    <v>536870912</v>
    <v>Warrington</v>
    <v>4079f4c4-ee00-1666-ed95-342e8d1634e2</v>
    <v>en-GB</v>
    <v>Map</v>
  </rv>
  <rv s="0">
    <v>536870912</v>
    <v>Bournemouth</v>
    <v>798e72ae-7e6b-eaba-0080-5e2b222ddfb7</v>
    <v>en-GB</v>
    <v>Map</v>
  </rv>
  <rv s="0">
    <v>536870912</v>
    <v>Blackpool</v>
    <v>a2968ee5-f872-4ab4-6479-95727f9bc6a7</v>
    <v>en-GB</v>
    <v>Map</v>
  </rv>
  <rv s="0">
    <v>536870912</v>
    <v>County Durham</v>
    <v>326adeba-4a25-fb10-67b8-480c6d7f4b2d</v>
    <v>en-GB</v>
    <v>Map</v>
  </rv>
  <rv s="0">
    <v>536870912</v>
    <v>Cumbria</v>
    <v>a192dc6e-69b1-5d04-741f-67720ce0ebfc</v>
    <v>en-GB</v>
    <v>Map</v>
  </rv>
  <rv s="0">
    <v>536870912</v>
    <v>Dorset</v>
    <v>248ebd80-8904-8a43-be23-3cd065a30350</v>
    <v>en-GB</v>
    <v>Map</v>
  </rv>
  <rv s="0">
    <v>536870912</v>
    <v>West Sussex</v>
    <v>6fef3193-51df-c781-5d99-8b60839e1cf9</v>
    <v>en-GB</v>
    <v>Map</v>
  </rv>
  <rv s="0">
    <v>536870912</v>
    <v>Hampshire</v>
    <v>2d3a57b7-ee5f-c34a-1ce7-09a573697693</v>
    <v>en-GB</v>
    <v>Map</v>
  </rv>
  <rv s="0">
    <v>536870912</v>
    <v>Suffolk</v>
    <v>b891db46-5bbb-53eb-6a27-28ae58d995e9</v>
    <v>en-GB</v>
    <v>Map</v>
  </rv>
  <rv s="0">
    <v>536870912</v>
    <v>Scotland</v>
    <v>a0377d96-1a18-f843-65ad-adcbc4acdc69</v>
    <v>en-GB</v>
    <v>Map</v>
  </rv>
  <rv s="0">
    <v>536870912</v>
    <v>Newport</v>
    <v>eb987e3b-b3c7-4072-08fa-b6ba938b35e1</v>
    <v>en-GB</v>
    <v>Map</v>
  </rv>
  <rv s="0">
    <v>536870912</v>
    <v>York</v>
    <v>a60ce14b-6919-f15c-15bd-5d5494ff8598</v>
    <v>en-GB</v>
    <v>Map</v>
  </rv>
  <rv s="0">
    <v>536870912</v>
    <v>Derby</v>
    <v>137d5451-9100-4ac6-b03e-fbc72ac322f4</v>
    <v>en-GB</v>
    <v>Map</v>
  </rv>
  <rv s="0">
    <v>536870912</v>
    <v>Reading</v>
    <v>281a95af-ccff-e632-516d-0f60d9882cfd</v>
    <v>en-GB</v>
    <v>Map</v>
  </rv>
  <rv s="0">
    <v>536870912</v>
    <v>Nottingham</v>
    <v>fd1f499f-6103-6a87-cddd-2086efabf88f</v>
    <v>en-GB</v>
    <v>Map</v>
  </rv>
  <rv s="0">
    <v>536870912</v>
    <v>Nottinghamshire</v>
    <v>474ecb67-f819-ecef-a259-d24741044ebd</v>
    <v>en-GB</v>
    <v>Map</v>
  </rv>
  <rv s="0">
    <v>536870912</v>
    <v>Sheffield</v>
    <v>41dbe832-f699-1fd7-e3b3-fbdcbd0167eb</v>
    <v>en-GB</v>
    <v>Map</v>
  </rv>
  <rv s="0">
    <v>536870912</v>
    <v>Leicestershire</v>
    <v>4b2d786f-4d40-dd9a-2c29-31c1db8a6dd3</v>
    <v>en-GB</v>
    <v>Map</v>
  </rv>
  <rv s="0">
    <v>536870912</v>
    <v>Gloucestershire</v>
    <v>eab8d5d9-01a7-f0db-d230-ec907f822254</v>
    <v>en-GB</v>
    <v>Map</v>
  </rv>
  <rv s="0">
    <v>536870912</v>
    <v>Birmingham</v>
    <v>aaac0a14-911d-49c8-ac97-51d9f9100ad7</v>
    <v>en-GB</v>
    <v>Map</v>
  </rv>
  <rv s="0">
    <v>536870912</v>
    <v>Isles of Scilly</v>
    <v>cbd82567-ce28-513c-27d4-0452c5504f8b</v>
    <v>en-GB</v>
    <v>Map</v>
  </rv>
  <rv s="0">
    <v>536870912</v>
    <v>Oxfordshire</v>
    <v>1eda598d-62bc-9a62-5694-ee4472f8dcf5</v>
    <v>en-GB</v>
    <v>Map</v>
  </rv>
  <rv s="0">
    <v>536870912</v>
    <v>Staffordshire</v>
    <v>8af62e75-98e5-6987-9d37-3061b70d0365</v>
    <v>en-GB</v>
    <v>Map</v>
  </rv>
  <rv s="0">
    <v>536870912</v>
    <v>Warwickshire</v>
    <v>f1173647-228f-1554-f0d8-39e325d478af</v>
    <v>en-GB</v>
    <v>Map</v>
  </rv>
  <rv s="0">
    <v>536870912</v>
    <v>Wales</v>
    <v>b51b24e1-6afb-d525-d360-f2eb5bf3410b</v>
    <v>en-GB</v>
    <v>Map</v>
  </rv>
  <rv s="0">
    <v>536870912</v>
    <v>Northumberland</v>
    <v>86a3fee3-ba4c-f565-1ce4-449912831e53</v>
    <v>en-GB</v>
    <v>Map</v>
  </rv>
  <rv s="0">
    <v>536870912</v>
    <v>East Sussex</v>
    <v>4a646622-0fa1-ec75-7268-69cce45dbd22</v>
    <v>en-GB</v>
    <v>Map</v>
  </rv>
  <rv s="0">
    <v>536870912</v>
    <v>Manchester</v>
    <v>35dddbb1-7bb3-4072-bfd5-f9e6570713b0</v>
    <v>en-GB</v>
    <v>Map</v>
  </rv>
  <rv s="0">
    <v>536870912</v>
    <v>North Yorkshire</v>
    <v>fb1d8fdd-e4d5-f9a0-5f8c-1a03f3c7dad4</v>
    <v>en-GB</v>
    <v>Map</v>
  </rv>
  <rv s="0">
    <v>536870912</v>
    <v>Kent</v>
    <v>254f7086-5bb1-bdbf-8511-000e19ec575a</v>
    <v>en-GB</v>
    <v>Map</v>
  </rv>
  <rv s="0">
    <v>536870912</v>
    <v>Plymouth</v>
    <v>a3e2c1e6-1f92-c845-835d-3b78083edf28</v>
    <v>en-GB</v>
    <v>Map</v>
  </rv>
  <rv s="0">
    <v>536870912</v>
    <v>Kingston upon Hull</v>
    <v>c2d2e2f2-1587-bacd-a08a-017a722bf4f3</v>
    <v>en-GB</v>
    <v>Map</v>
  </rv>
  <rv s="0">
    <v>536870912</v>
    <v>Bristol</v>
    <v>3a2b5f36-3aab-be4b-07ef-da515a676e60</v>
    <v>en-GB</v>
    <v>Map</v>
  </rv>
  <rv s="0">
    <v>536870912</v>
    <v>Leicester</v>
    <v>88af3d23-ab3c-0468-1391-254a59804943</v>
    <v>en-GB</v>
    <v>Map</v>
  </rv>
  <rv s="0">
    <v>536870912</v>
    <v>Southampton</v>
    <v>c459ea11-71e5-3eae-977c-7a7ac56e054d</v>
    <v>en-GB</v>
    <v>Map</v>
  </rv>
  <rv s="0">
    <v>536870912</v>
    <v>Wolverhampton</v>
    <v>a4e729ad-f9ef-fbc2-5496-659379e68cc8</v>
    <v>en-GB</v>
    <v>Map</v>
  </rv>
  <rv s="0">
    <v>536870912</v>
    <v>Portsmouth</v>
    <v>337425e1-03f7-5cdc-cf78-5fb9639fcc32</v>
    <v>en-GB</v>
    <v>Map</v>
  </rv>
  <rv s="0">
    <v>536870912</v>
    <v>Luton</v>
    <v>f00d5748-ef3f-0016-e774-64ef25551a8e</v>
    <v>en-GB</v>
    <v>Map</v>
  </rv>
  <rv s="0">
    <v>536870912</v>
    <v>Slough</v>
    <v>abfe29f2-7624-f440-e5c1-83347196e0b5</v>
    <v>en-GB</v>
    <v>Map</v>
  </rv>
  <rv s="0">
    <v>536870912</v>
    <v>Peterborough</v>
    <v>62489622-eccf-7222-2856-6fff39f80df8</v>
    <v>en-GB</v>
    <v>Map</v>
  </rv>
  <rv s="0">
    <v>536870912</v>
    <v>Poole</v>
    <v>cc1b9a88-ec7e-57fa-3120-f797177b9ece</v>
    <v>en-GB</v>
    <v>Map</v>
  </rv>
  <rv s="0">
    <v>536870912</v>
    <v>London Borough of Richmond upon Thames</v>
    <v>330d56ea-b71b-f6c8-32ac-1c0f219611a4</v>
    <v>en-GB</v>
    <v>Map</v>
  </rv>
  <rv s="0">
    <v>536870912</v>
    <v>Middlesbrough</v>
    <v>8b36aad5-43a9-73f0-207c-ad3765927011</v>
    <v>en-GB</v>
    <v>Map</v>
  </rv>
  <rv s="0">
    <v>536870912</v>
    <v>Hertfordshire</v>
    <v>070f9acc-7c22-7b21-6d9a-6d46b9aa876a</v>
    <v>en-GB</v>
    <v>Map</v>
  </rv>
  <rv s="0">
    <v>536870912</v>
    <v>Cambridgeshire</v>
    <v>bc02c14b-0035-fc4c-411f-168edbf62536</v>
    <v>en-GB</v>
    <v>Map</v>
  </rv>
  <rv s="0">
    <v>536870912</v>
    <v>West Berkshire</v>
    <v>24ab4528-6d4a-2364-a87a-5ce1744b2fd9</v>
    <v>en-GB</v>
    <v>Map</v>
  </rv>
  <rv s="0">
    <v>536870912</v>
    <v>Herefordshire</v>
    <v>f586d43a-d582-5c49-952e-b296001cdbe1</v>
    <v>en-GB</v>
    <v>Map</v>
  </rv>
  <rv s="0">
    <v>536870912</v>
    <v>Rutland</v>
    <v>39bb7744-90c5-e3fa-c4f7-7e89bf42f3a9</v>
    <v>en-GB</v>
    <v>Map</v>
  </rv>
  <rv s="0">
    <v>536870912</v>
    <v>Essex</v>
    <v>5c034f63-79be-7ab6-5ae6-b57d985a0e50</v>
    <v>en-GB</v>
    <v>Map</v>
  </rv>
  <rv s="0">
    <v>536870912</v>
    <v>Edinburgh</v>
    <v>286af946-edea-5f33-df53-4164821c69da</v>
    <v>en-GB</v>
    <v>Map</v>
  </rv>
  <rv s="0">
    <v>536870912</v>
    <v>Glasgow</v>
    <v>da2548ee-1b26-f939-06b4-2fae57e075e7</v>
    <v>en-GB</v>
    <v>Map</v>
  </rv>
  <rv s="0">
    <v>536870912</v>
    <v>Cardiff</v>
    <v>cdfaa940-1a8c-2522-2bf5-e09831059c8c</v>
    <v>en-GB</v>
    <v>Map</v>
  </rv>
  <rv s="0">
    <v>536870912</v>
    <v>Dundee</v>
    <v>26e6ea64-8197-1c44-a767-91d93e3e7e60</v>
    <v>en-GB</v>
    <v>Map</v>
  </rv>
  <rv s="0">
    <v>536870912</v>
    <v>Gwynedd</v>
    <v>4696c15a-9117-8701-d989-35980505aaba</v>
    <v>en-GB</v>
    <v>Map</v>
  </rv>
  <rv s="0">
    <v>536870912</v>
    <v>Northern Ireland</v>
    <v>e4b8bc44-385c-e87b-bb7d-b32328f53502</v>
    <v>en-GB</v>
    <v>Map</v>
  </rv>
  <rv s="0">
    <v>536870912</v>
    <v>Aberdeenshire</v>
    <v>b81a7eb6-c957-282c-9953-e0c1798b2eb6</v>
    <v>en-GB</v>
    <v>Map</v>
  </rv>
  <rv s="0">
    <v>536870912</v>
    <v>Merthyr Tydfil</v>
    <v>067b1107-205b-0f64-187e-94c55c7c82a3</v>
    <v>en-GB</v>
    <v>Map</v>
  </rv>
  <rv s="0">
    <v>536870912</v>
    <v>Aberdeen</v>
    <v>e99cc5fc-69e5-a8a6-e0bb-bade5ce6f2e7</v>
    <v>en-GB</v>
    <v>Map</v>
  </rv>
  <rv s="0">
    <v>536870912</v>
    <v>West Lothian</v>
    <v>c3c56189-7090-194e-859f-d3fbb1781795</v>
    <v>en-GB</v>
    <v>Map</v>
  </rv>
  <rv s="0">
    <v>536870912</v>
    <v>Belfast</v>
    <v>066bd7c2-af77-6ff0-3347-a0c3ed0a34f4</v>
    <v>en-GB</v>
    <v>Map</v>
  </rv>
  <rv s="0">
    <v>536870912</v>
    <v>Wrexham County Borough</v>
    <v>3c28a426-f3d1-4876-8049-750e76d56950</v>
    <v>en-GB</v>
    <v>Map</v>
  </rv>
  <rv s="0">
    <v>536870912</v>
    <v>Swansea</v>
    <v>ca0c6bd0-fcf5-4af4-618e-0dcc81e904f1</v>
    <v>en-GB</v>
    <v>Map</v>
  </rv>
  <rv s="0">
    <v>536870912</v>
    <v>Carmarthenshire</v>
    <v>1d3b8c9e-4e53-0b68-e9b4-8eddd9ffd0bc</v>
    <v>en-GB</v>
    <v>Map</v>
  </rv>
  <rv s="0">
    <v>536870912</v>
    <v>Midlothian</v>
    <v>9c548132-3419-5bc6-56ca-e1373dcfe23c</v>
    <v>en-GB</v>
    <v>Map</v>
  </rv>
  <rv s="0">
    <v>536870912</v>
    <v>Fife</v>
    <v>54a585e4-03af-cb0b-6dc0-35d8c58407f5</v>
    <v>en-GB</v>
    <v>Map</v>
  </rv>
  <rv s="0">
    <v>536870912</v>
    <v>East Lothian</v>
    <v>0fbdbf9c-787c-9fa5-4e8a-acfd4aaff046</v>
    <v>en-GB</v>
    <v>Map</v>
  </rv>
  <rv s="0">
    <v>536870912</v>
    <v>Flintshire</v>
    <v>154b78b5-e707-2db6-6f66-f6a938690d05</v>
    <v>en-GB</v>
    <v>Map</v>
  </rv>
  <rv s="0">
    <v>536870912</v>
    <v>Anglesey</v>
    <v>5207525e-c76a-4aec-33af-64384c5a6e0c</v>
    <v>en-GB</v>
    <v>Map</v>
  </rv>
  <rv s="0">
    <v>536870912</v>
    <v>Dumfries and Galloway</v>
    <v>166abd1b-5753-3637-40eb-61aaf9738a0b</v>
    <v>en-GB</v>
    <v>Map</v>
  </rv>
  <rv s="0">
    <v>536870912</v>
    <v>Pembrokeshire</v>
    <v>4925e50e-8717-4f5f-2bfd-0bfe0c525744</v>
    <v>en-GB</v>
    <v>Map</v>
  </rv>
  <rv s="0">
    <v>536870912</v>
    <v>Powys</v>
    <v>5d9c5f00-6996-2dfd-d223-c8de2ee5eca5</v>
    <v>en-GB</v>
    <v>Map</v>
  </rv>
  <rv s="0">
    <v>536870912</v>
    <v>City of Westminster</v>
    <v>63ce8294-e571-7282-75aa-205efd425a22</v>
    <v>en-GB</v>
    <v>Map</v>
  </rv>
  <rv s="0">
    <v>536870912</v>
    <v>Vale of Glamorgan</v>
    <v>94cdbb31-cc8e-b56e-7be6-54e42315cdbf</v>
    <v>en-GB</v>
    <v>Map</v>
  </rv>
  <rv s="0">
    <v>536870912</v>
    <v>Ceredigion</v>
    <v>7b38a8a3-f389-b19c-ae91-3d0d4ca3273b</v>
    <v>en-GB</v>
    <v>Map</v>
  </rv>
  <rv s="0">
    <v>536870912</v>
    <v>Royal Borough of Greenwich</v>
    <v>69a30182-b3c0-474a-ff80-5e14c2516e95</v>
    <v>en-GB</v>
    <v>Map</v>
  </rv>
  <rv s="0">
    <v>536870912</v>
    <v>Orkney</v>
    <v>041d9a1c-58a6-ca2b-d149-0546a069bef4</v>
    <v>en-GB</v>
    <v>Map</v>
  </rv>
  <rv s="0">
    <v>536870912</v>
    <v>Southend-on-Sea</v>
    <v>7da0961f-3c65-9262-1fa3-d36b06c3c72c</v>
    <v>en-GB</v>
    <v>Map</v>
  </rv>
  <rv s="0">
    <v>536870912</v>
    <v>Trafford</v>
    <v>88dd02ca-7d6b-61b2-cbec-c00dae5fc203</v>
    <v>en-GB</v>
    <v>Map</v>
  </rv>
  <rv s="0">
    <v>536870912</v>
    <v>London Borough of Camden</v>
    <v>427b51f0-5efc-c4ce-8007-d7db16792348</v>
    <v>en-GB</v>
    <v>Map</v>
  </rv>
  <rv s="0">
    <v>536870912</v>
    <v>City of Salford</v>
    <v>0d97218d-4223-6a9d-b74c-6f674d3df8ad</v>
    <v>en-GB</v>
    <v>Map</v>
  </rv>
  <rv s="0">
    <v>536870912</v>
    <v>Shetland</v>
    <v>69917bcc-72c4-054c-7b8b-59e2e6e6d054</v>
    <v>en-GB</v>
    <v>Map</v>
  </rv>
  <rv s="0">
    <v>536870912</v>
    <v>London Borough of Ealing</v>
    <v>77aca5f9-73b2-ac32-7da9-829325532b67</v>
    <v>en-GB</v>
    <v>Map</v>
  </rv>
  <rv s="0">
    <v>536870912</v>
    <v>Kirklees</v>
    <v>7fdc5fe4-3ddc-2d3f-0ba1-f1c30887c0c4</v>
    <v>en-GB</v>
    <v>Map</v>
  </rv>
  <rv s="0">
    <v>536870912</v>
    <v>London Borough of Hackney</v>
    <v>76c7413e-fd75-9503-c844-f948f920bf50</v>
    <v>en-GB</v>
    <v>Map</v>
  </rv>
  <rv s="0">
    <v>536870912</v>
    <v>Royal Borough of Kensington and Chelsea</v>
    <v>c8bf96b0-bbe9-7147-b91d-e4f05eeeaa4c</v>
    <v>en-GB</v>
    <v>Map</v>
  </rv>
  <rv s="0">
    <v>536870912</v>
    <v>Sandwell</v>
    <v>7578a257-fbbb-a33c-1ae8-09f08c610682</v>
    <v>en-GB</v>
    <v>Map</v>
  </rv>
  <rv s="0">
    <v>536870912</v>
    <v>Caerphilly County Borough</v>
    <v>6d897151-929a-c376-fe6c-d2ecbf6d0096</v>
    <v>en-GB</v>
    <v>Map</v>
  </rv>
  <rv s="0">
    <v>536870912</v>
    <v>City of Bradford</v>
    <v>2fb792af-f38f-dc28-e920-682ea0f4dd1e</v>
    <v>en-GB</v>
    <v>Map</v>
  </rv>
  <rv s="0">
    <v>536870912</v>
    <v>Royal Borough of Kingston upon Thames</v>
    <v>a7e7bf4f-aaf6-b38c-c6f1-3cece81a7c73</v>
    <v>en-GB</v>
    <v>Map</v>
  </rv>
  <rv s="0">
    <v>536870912</v>
    <v>Calderdale</v>
    <v>5924493e-e100-57de-1e2c-616b7f16fb75</v>
    <v>en-GB</v>
    <v>Map</v>
  </rv>
  <rv s="0">
    <v>536870912</v>
    <v>London Borough of Barking and Dagenham</v>
    <v>2c34f629-9085-faea-d501-72c74db2e99e</v>
    <v>en-GB</v>
    <v>Map</v>
  </rv>
  <rv s="0">
    <v>536870912</v>
    <v>London Borough of Newham</v>
    <v>6f66bcdb-5f1f-dc38-5bcd-6cf54619476b</v>
    <v>en-GB</v>
    <v>Map</v>
  </rv>
  <rv s="0">
    <v>536870912</v>
    <v>London Borough of Croydon</v>
    <v>a9d4124c-1c82-3830-538a-6e730fd78ca2</v>
    <v>en-GB</v>
    <v>Map</v>
  </rv>
  <rv s="0">
    <v>536870912</v>
    <v>London Borough of Hammersmith and Fulham</v>
    <v>51eedf66-5a54-e2da-0786-904cd2ae5e01</v>
    <v>en-GB</v>
    <v>Map</v>
  </rv>
  <rv s="0">
    <v>536870912</v>
    <v>London Borough of Barnet</v>
    <v>1415c296-3271-e593-e550-6baa54d0be91</v>
    <v>en-GB</v>
    <v>Map</v>
  </rv>
  <rv s="0">
    <v>536870912</v>
    <v>Brighton and Hove</v>
    <v>297cae4c-741d-4091-0d17-7a0cb4dfc072</v>
    <v>en-GB</v>
    <v>Map</v>
  </rv>
  <rv s="0">
    <v>536870912</v>
    <v>London Borough of Wandsworth</v>
    <v>53aa5bbb-0a68-ec05-93a9-8fa5ae4c0035</v>
    <v>en-GB</v>
    <v>Map</v>
  </rv>
  <rv s="0">
    <v>536870912</v>
    <v>London Borough of Enfield</v>
    <v>7c4de49e-3914-6146-453f-83960bc60157</v>
    <v>en-GB</v>
    <v>Map</v>
  </rv>
  <rv s="0">
    <v>536870912</v>
    <v>London Borough of Brent</v>
    <v>87fcc92f-bb25-a5db-2917-0297b7cc7006</v>
    <v>en-GB</v>
    <v>Map</v>
  </rv>
  <rv s="0">
    <v>536870912</v>
    <v>London Borough of Redbridge</v>
    <v>25ce92d8-1ab5-04ff-f1eb-644dc5a2b326</v>
    <v>en-GB</v>
    <v>Map</v>
  </rv>
  <rv s="0">
    <v>536870912</v>
    <v>London Borough of Lambeth</v>
    <v>601c1f89-26d4-d4e8-5de2-23643ae45707</v>
    <v>en-GB</v>
    <v>Map</v>
  </rv>
  <rv s="0">
    <v>536870912</v>
    <v>London Borough of Hillingdon</v>
    <v>adce1ab7-1b39-eea4-bbdd-78e6be2aaa2e</v>
    <v>en-GB</v>
    <v>Map</v>
  </rv>
  <rv s="0">
    <v>536870912</v>
    <v>London Borough of Islington</v>
    <v>fffc642f-7ca5-55b3-c338-3cba1b932d55</v>
    <v>en-GB</v>
    <v>Map</v>
  </rv>
  <rv s="0">
    <v>536870912</v>
    <v>London Borough of Tower Hamlets</v>
    <v>b55b7e9b-cc89-eb16-0ee2-ef35b73001a0</v>
    <v>en-GB</v>
    <v>Map</v>
  </rv>
  <rv s="0">
    <v>536870912</v>
    <v>London Borough of Hounslow</v>
    <v>a393f5fb-5fb3-19ff-52cf-267a06915d2f</v>
    <v>en-GB</v>
    <v>Map</v>
  </rv>
  <rv s="0">
    <v>536870912</v>
    <v>London Borough of Merton</v>
    <v>8e4ee7a7-2b94-344c-b740-c768658bb561</v>
    <v>en-GB</v>
    <v>Map</v>
  </rv>
  <rv s="0">
    <v>536870912</v>
    <v>London Borough of Southwark</v>
    <v>6ff0cd7b-6e7e-3ceb-7dad-6e0d2c1da0c3</v>
    <v>en-GB</v>
    <v>Map</v>
  </rv>
  <rv s="0">
    <v>536870912</v>
    <v>London Borough of Harrow</v>
    <v>0365592b-9270-e980-6139-aa2a4615cdb3</v>
    <v>en-GB</v>
    <v>Map</v>
  </rv>
  <rv s="0">
    <v>536870912</v>
    <v>London Borough of Waltham Forest</v>
    <v>7da02390-10d4-e36c-314f-ea514faa62e6</v>
    <v>en-GB</v>
    <v>Map</v>
  </rv>
  <rv s="0">
    <v>536870912</v>
    <v>London Borough of Havering</v>
    <v>b14e42eb-0997-fe1c-4049-b8f437a869de</v>
    <v>en-GB</v>
    <v>Map</v>
  </rv>
  <rv s="0">
    <v>536870912</v>
    <v>Denbighshire</v>
    <v>d9b0986c-3824-a9c1-8788-f8c20d153ff5</v>
    <v>en-GB</v>
    <v>Map</v>
  </rv>
  <rv s="0">
    <v>536870912</v>
    <v>London Borough of Haringey</v>
    <v>942466ed-2570-73ac-4497-51fccd9667ac</v>
    <v>en-GB</v>
    <v>Map</v>
  </rv>
  <rv s="0">
    <v>536870912</v>
    <v>London Borough of Lewisham</v>
    <v>105eeb6e-338a-1994-b9e3-fa5b63eb79fd</v>
    <v>en-GB</v>
    <v>Map</v>
  </rv>
  <rv s="0">
    <v>536870912</v>
    <v>Monmouthshire</v>
    <v>81bc2422-be5c-4cd9-8614-3b9b226c7154</v>
    <v>en-GB</v>
    <v>Map</v>
  </rv>
  <rv s="0">
    <v>536870912</v>
    <v>London Borough of Bromley</v>
    <v>5fbe984e-fdf2-c1a4-c9e0-c9ae9a1b1bfa</v>
    <v>en-GB</v>
    <v>Map</v>
  </rv>
  <rv s="0">
    <v>536870912</v>
    <v>Torbay</v>
    <v>20f58686-8f00-84da-c4d0-61544ec1c0b3</v>
    <v>en-GB</v>
    <v>Map</v>
  </rv>
  <rv s="0">
    <v>536870912</v>
    <v>City of Wakefield</v>
    <v>fda1d0a0-3c3d-b6d2-4e49-217176b79940</v>
    <v>en-GB</v>
    <v>Map</v>
  </rv>
  <rv s="0">
    <v>536870912</v>
    <v>London Borough of Bexley</v>
    <v>37fc0a51-9932-09b4-2e6d-28e52a5abc35</v>
    <v>en-GB</v>
    <v>Map</v>
  </rv>
  <rv s="0">
    <v>536870912</v>
    <v>Borough of Halton</v>
    <v>aba165c7-6f69-a541-bd58-9952c853e295</v>
    <v>en-GB</v>
    <v>Map</v>
  </rv>
  <rv s="0">
    <v>536870912</v>
    <v>North Somerset</v>
    <v>e3678f85-61b8-0810-8c53-e58bdb733dec</v>
    <v>en-GB</v>
    <v>Map</v>
  </rv>
  <rv s="0">
    <v>536870912</v>
    <v>Tameside</v>
    <v>4d704dba-d053-5372-9d1b-631f69f25246</v>
    <v>en-GB</v>
    <v>Map</v>
  </rv>
  <rv s="0">
    <v>536870912</v>
    <v>North Tyneside</v>
    <v>36ca8e86-236d-306d-dfc1-621780c43474</v>
    <v>en-GB</v>
    <v>Map</v>
  </rv>
  <rv s="0">
    <v>536870912</v>
    <v>London Borough of Sutton</v>
    <v>c1460554-820a-05a1-aac2-342042bac143</v>
    <v>en-GB</v>
    <v>Map</v>
  </rv>
  <rv s="0">
    <v>536870912</v>
    <v>Medway</v>
    <v>3ade3b17-52c4-4392-59ad-874fde4b7de5</v>
    <v>en-GB</v>
    <v>Map</v>
  </rv>
  <rv s="0">
    <v>536870912</v>
    <v>Bath and North East Somerset</v>
    <v>1ea8797d-5e0d-8b8d-d63e-c6cbbd49f9d2</v>
    <v>en-GB</v>
    <v>Map</v>
  </rv>
  <rv s="0">
    <v>536870912</v>
    <v>Metropolitan Borough of Stockport</v>
    <v>a0ddc244-2a33-2738-d6e7-20cabc5c8b14</v>
    <v>en-GB</v>
    <v>Map</v>
  </rv>
  <rv s="0">
    <v>536870912</v>
    <v>North East Lincolnshire</v>
    <v>87656709-108c-e3ba-f3f5-aac83525778e</v>
    <v>en-GB</v>
    <v>Map</v>
  </rv>
  <rv s="3">
    <v>16</v>
  </rv>
  <rv s="1">
    <fb>0.255052921600669</fb>
    <v>33</v>
  </rv>
  <rv s="3">
    <v>17</v>
  </rv>
  <rv s="1">
    <fb>0.30599999999999999</fb>
    <v>33</v>
  </rv>
  <rv s="1">
    <fb>3.8510000705719E-2</fb>
    <v>40</v>
  </rv>
  <rv s="1">
    <fb>55908316</fb>
    <v>8</v>
  </rv>
  <rv s="12">
    <v>#VALUE!</v>
    <v>en-GB</v>
    <v>b1a5155a-6bb2-4646-8f7c-3e6b3a53c831</v>
    <v>536870912</v>
    <v>1</v>
    <v>76</v>
    <v>77</v>
    <v>United Kingdom</v>
    <v>66</v>
    <v>78</v>
    <v>Map</v>
    <v>6</v>
    <v>79</v>
    <v>GB</v>
    <v>195</v>
    <v>196</v>
    <v>197</v>
    <v>198</v>
    <v>199</v>
    <v>184</v>
    <v>200</v>
    <v>201</v>
    <v>202</v>
    <v>GBP</v>
    <v>The United Kingdom of Great Britain and Northern Ireland, commonly known as the United Kingdom or Britain, is a sovereign country in Europe, off the north-western coast of the continental mainland. It comprises England, Wales, Scotland, and Northern Ireland. The United Kingdom includes the island of Great Britain, the north-eastern part of the island of Ireland, and many smaller islands within the British Isles. Northern Ireland shares a land border with the Republic of Ireland; otherwise, the United Kingdom is surrounded by the Atlantic Ocean, the North Sea, the English Channel, the Celtic Sea and the Irish Sea. The total area of the United Kingdom is 93,628 square miles, with an estimated 2020 population of more than 67 million people.</v>
    <v>203</v>
    <v>204</v>
    <v>205</v>
    <v>206</v>
    <v>207</v>
    <v>208</v>
    <v>209</v>
    <v>210</v>
    <v>211</v>
    <v>212</v>
    <v>184</v>
    <v>217</v>
    <v>218</v>
    <v>219</v>
    <v>220</v>
    <v>221</v>
    <v>222</v>
    <v>United Kingdom</v>
    <v>God Save the Queen</v>
    <v>223</v>
    <v>United Kingdom of Great Britain and Northern Ireland</v>
    <v>224</v>
    <v>225</v>
    <v>226</v>
    <v>227</v>
    <v>228</v>
    <v>229</v>
    <v>230</v>
    <v>231</v>
    <v>232</v>
    <v>233</v>
    <v>234</v>
    <v>381</v>
    <v>382</v>
    <v>383</v>
    <v>384</v>
    <v>385</v>
    <v>United Kingdom</v>
    <v>386</v>
    <v>mdp/vdpid/242</v>
  </rv>
  <rv s="0">
    <v>536870912</v>
    <v>Madrid</v>
    <v>a497c067-c4c6-4bf4-9a5d-34fd30589bda</v>
    <v>en-GB</v>
    <v>Map</v>
  </rv>
  <rv s="0">
    <v>536870912</v>
    <v>Community of Madrid</v>
    <v>854c08ed-f6d7-c812-1a3f-46928ae0597e</v>
    <v>en-GB</v>
    <v>Map</v>
  </rv>
  <rv s="1">
    <fb>604.29999999999995</fb>
    <v>8</v>
  </rv>
  <rv s="0">
    <v>536870912</v>
    <v>Spain</v>
    <v>1baf9d59-f443-e9f4-6e49-de048a073e3f</v>
    <v>en-GB</v>
    <v>Map</v>
  </rv>
  <rv s="1">
    <fb>40.416690899999999</fb>
    <v>9</v>
  </rv>
  <rv s="0">
    <v>805306368</v>
    <v>Manuela Carmena (Mayor)</v>
    <v>22b84f13-a006-51f6-9168-1a4d6061ea2f</v>
    <v>en-GB</v>
    <v>Generic</v>
  </rv>
  <rv s="3">
    <v>18</v>
  </rv>
  <rv s="1">
    <fb>-3.7003453999999998</fb>
    <v>9</v>
  </rv>
  <rv s="1">
    <fb>3233527</fb>
    <v>8</v>
  </rv>
  <rv s="3">
    <v>19</v>
  </rv>
  <rv s="13">
    <v>#VALUE!</v>
    <v>en-GB</v>
    <v>a497c067-c4c6-4bf4-9a5d-34fd30589bda</v>
    <v>536870912</v>
    <v>1</v>
    <v>84</v>
    <v>85</v>
    <v>Madrid</v>
    <v>66</v>
    <v>67</v>
    <v>Map</v>
    <v>6</v>
    <v>86</v>
    <v>389</v>
    <v>390</v>
    <v>391</v>
    <v>Madrid is the capital and most populous city of Spain. The city has almost 3.4 million inhabitants and a metropolitan area population of approximately 6.7 million. It is the second-largest city in the European Union, and its monocentric metropolitan area is the second-largest in the EU. The municipality covers 604.3 km² geographical area.</v>
    <v>392</v>
    <v>394</v>
    <v>23</v>
    <v>395</v>
    <v>Madrid</v>
    <v>396</v>
    <v>397</v>
    <v>Madrid</v>
    <v>mdp/vdpid/5669357583933112321</v>
  </rv>
  <rv s="1">
    <fb>505370</fb>
    <v>8</v>
  </rv>
  <rv s="2">
    <v>8</v>
    <v>6</v>
    <v>92</v>
    <v>6</v>
    <v>0</v>
    <v>Image of Spain</v>
  </rv>
  <rv s="0">
    <v>805306368</v>
    <v>Iñigo Urkullu (Head of government)</v>
    <v>0d4f30d6-1d60-806b-c22a-e860ba137b27</v>
    <v>en-GB</v>
    <v>Generic</v>
  </rv>
  <rv s="0">
    <v>805306368</v>
    <v>King Felipe VI of Spain (Monarch)</v>
    <v>ec86fb82-ddbc-286a-d1a7-3644682c1efc</v>
    <v>en-GB</v>
    <v>Generic</v>
  </rv>
  <rv s="0">
    <v>805306368</v>
    <v>Pedro Sánchez (Prime Minister)</v>
    <v>9e0d6cf3-f466-7b6f-0a92-aa23020fc120</v>
    <v>en-GB</v>
    <v>Generic</v>
  </rv>
  <rv s="3">
    <v>20</v>
  </rv>
  <rv s="3">
    <v>21</v>
  </rv>
  <rv s="1">
    <fb>47076781</fb>
    <v>8</v>
  </rv>
  <rv s="0">
    <v>536870912</v>
    <v>Galicia</v>
    <v>70c91f08-f55c-f98a-047e-aa9228ed4253</v>
    <v>en-GB</v>
    <v>Map</v>
  </rv>
  <rv s="0">
    <v>536870912</v>
    <v>Asturias</v>
    <v>6880b28a-27ed-46a3-3b3f-93553df34103</v>
    <v>en-GB</v>
    <v>Map</v>
  </rv>
  <rv s="0">
    <v>536870912</v>
    <v>Catalonia</v>
    <v>54afd4ed-d6c4-c6c9-2f8d-10440795b196</v>
    <v>en-GB</v>
    <v>Map</v>
  </rv>
  <rv s="0">
    <v>536870912</v>
    <v>Canary Islands</v>
    <v>e5f4f633-d27e-9012-be27-a85d7ed21999</v>
    <v>en-GB</v>
    <v>Map</v>
  </rv>
  <rv s="0">
    <v>536870912</v>
    <v>Cantabria</v>
    <v>ff0ffbe3-172a-ecd8-17cd-6f2f89c9d0dd</v>
    <v>en-GB</v>
    <v>Map</v>
  </rv>
  <rv s="0">
    <v>536870912</v>
    <v>Basque Country</v>
    <v>27cbb013-d521-0f66-7c87-67bad92e92f5</v>
    <v>en-GB</v>
    <v>Map</v>
  </rv>
  <rv s="0">
    <v>536870912</v>
    <v>Melilla</v>
    <v>a67b3afb-47dd-d884-afd6-0794c4de12ba</v>
    <v>en-GB</v>
    <v>Map</v>
  </rv>
  <rv s="0">
    <v>536870912</v>
    <v>Extremadura</v>
    <v>60c245e4-f9c9-d637-1ff7-50148c20166f</v>
    <v>en-GB</v>
    <v>Map</v>
  </rv>
  <rv s="0">
    <v>536870912</v>
    <v>Andalusia</v>
    <v>b009454b-b921-1477-fbf3-ea4c66d409b5</v>
    <v>en-GB</v>
    <v>Map</v>
  </rv>
  <rv s="0">
    <v>536870912</v>
    <v>Ceuta</v>
    <v>4575b2d9-4933-9d93-b84d-3080054b3dda</v>
    <v>en-GB</v>
    <v>Map</v>
  </rv>
  <rv s="0">
    <v>536870912</v>
    <v>Province of Castellón</v>
    <v>67094629-aa10-d62a-16d6-0fa9deeb1a43</v>
    <v>en-GB</v>
    <v>Map</v>
  </rv>
  <rv s="0">
    <v>536870912</v>
    <v>Aragon</v>
    <v>66482df7-7a8d-eb53-1b74-7702eb8f6ab7</v>
    <v>en-GB</v>
    <v>Map</v>
  </rv>
  <rv s="0">
    <v>536870912</v>
    <v>Navarre</v>
    <v>bd2c46e0-0dec-2a95-cf06-e23728a2a0ed</v>
    <v>en-GB</v>
    <v>Map</v>
  </rv>
  <rv s="0">
    <v>536870912</v>
    <v>Balearic Islands</v>
    <v>7e327ef9-6826-d495-c6f5-ce9e1568e47a</v>
    <v>en-GB</v>
    <v>Map</v>
  </rv>
  <rv s="0">
    <v>536870912</v>
    <v>Province of León</v>
    <v>2b12d681-c881-a39a-191e-360067079f4e</v>
    <v>en-GB</v>
    <v>Map</v>
  </rv>
  <rv s="0">
    <v>536870912</v>
    <v>Province of Valencia</v>
    <v>75aeab78-6688-6517-939f-4012899c2bda</v>
    <v>en-GB</v>
    <v>Map</v>
  </rv>
  <rv s="0">
    <v>536870912</v>
    <v>Valencian Community</v>
    <v>d1a45f13-aca9-6854-cb23-92573a279216</v>
    <v>en-GB</v>
    <v>Map</v>
  </rv>
  <rv s="0">
    <v>536870912</v>
    <v>Biscay</v>
    <v>4bfafe6b-99a7-ddb4-4646-6c32e5a3f1cb</v>
    <v>en-GB</v>
    <v>Map</v>
  </rv>
  <rv s="0">
    <v>536870912</v>
    <v>Region of Murcia</v>
    <v>e697a468-5c9d-9a42-68ac-b04781a55abd</v>
    <v>en-GB</v>
    <v>Map</v>
  </rv>
  <rv s="0">
    <v>536870912</v>
    <v>Province of Ávila</v>
    <v>545a079a-5aff-1a18-2b7b-a462d93c152d</v>
    <v>en-GB</v>
    <v>Map</v>
  </rv>
  <rv s="0">
    <v>536870912</v>
    <v>Castile and León</v>
    <v>7fc8f34d-7f31-b8c6-34d4-545cb3920adf</v>
    <v>en-GB</v>
    <v>Map</v>
  </rv>
  <rv s="0">
    <v>536870912</v>
    <v>Province of Cáceres</v>
    <v>3a9f24a5-e151-a024-dc89-0bd15fcc2a8b</v>
    <v>en-GB</v>
    <v>Map</v>
  </rv>
  <rv s="0">
    <v>536870912</v>
    <v>Province of Salamanca</v>
    <v>b994b69e-e819-6a99-5f2a-a581d9fcea56</v>
    <v>en-GB</v>
    <v>Map</v>
  </rv>
  <rv s="0">
    <v>536870912</v>
    <v>Province of Barcelona</v>
    <v>b2a3ae51-9710-d8d5-f226-e01e09478534</v>
    <v>en-GB</v>
    <v>Map</v>
  </rv>
  <rv s="0">
    <v>536870912</v>
    <v>Province of Pontevedra</v>
    <v>c1aaaaff-0eb5-0f73-598d-c58391a9f7b0</v>
    <v>en-GB</v>
    <v>Map</v>
  </rv>
  <rv s="0">
    <v>536870912</v>
    <v>Province of A Coruña</v>
    <v>d8fb1e81-3943-afed-8b2e-ae2cdff823be</v>
    <v>en-GB</v>
    <v>Map</v>
  </rv>
  <rv s="0">
    <v>536870912</v>
    <v>Province of Alicante</v>
    <v>87d7b372-751f-e733-6f14-ac80525014a9</v>
    <v>en-GB</v>
    <v>Map</v>
  </rv>
  <rv s="0">
    <v>536870912</v>
    <v>Province of Lugo</v>
    <v>af6d4164-f953-27c3-082c-33c429fec322</v>
    <v>en-GB</v>
    <v>Map</v>
  </rv>
  <rv s="0">
    <v>536870912</v>
    <v>Álava</v>
    <v>8959d0bf-9d98-b288-5500-218f00703dca</v>
    <v>en-GB</v>
    <v>Map</v>
  </rv>
  <rv s="0">
    <v>536870912</v>
    <v>Gipuzkoa</v>
    <v>0732c56a-f22d-470e-f63d-392a2cf0e083</v>
    <v>en-GB</v>
    <v>Map</v>
  </rv>
  <rv s="0">
    <v>536870912</v>
    <v>Province of Lleida</v>
    <v>cd271e37-2d9a-a660-6a8c-0aafb0a0ef8b</v>
    <v>en-GB</v>
    <v>Map</v>
  </rv>
  <rv s="0">
    <v>536870912</v>
    <v>Province of Almería</v>
    <v>6c4ed7e1-933d-021e-cbe6-180ba81bd9c6</v>
    <v>en-GB</v>
    <v>Map</v>
  </rv>
  <rv s="0">
    <v>536870912</v>
    <v>Province of Huelva</v>
    <v>8494cf79-28dd-7fc8-78c1-3d23f9d50c0e</v>
    <v>en-GB</v>
    <v>Map</v>
  </rv>
  <rv s="0">
    <v>536870912</v>
    <v>Province of Girona</v>
    <v>10862bc0-af28-7e3a-6341-2b573f763195</v>
    <v>en-GB</v>
    <v>Map</v>
  </rv>
  <rv s="0">
    <v>536870912</v>
    <v>Province of Córdoba</v>
    <v>51d8fb3a-05ff-9f1f-c573-c4de97128e9f</v>
    <v>en-GB</v>
    <v>Map</v>
  </rv>
  <rv s="0">
    <v>536870912</v>
    <v>Province of Toledo</v>
    <v>9593769e-9524-c7fb-b3b4-1167c424ce82</v>
    <v>en-GB</v>
    <v>Map</v>
  </rv>
  <rv s="0">
    <v>536870912</v>
    <v>Zaragoza</v>
    <v>da720a8f-e35f-3613-9353-280d14021ee4</v>
    <v>en-GB</v>
    <v>Map</v>
  </rv>
  <rv s="0">
    <v>536870912</v>
    <v>Province of Tarragona</v>
    <v>4597b0ff-134e-9771-b6c8-e4f0139c0068</v>
    <v>en-GB</v>
    <v>Map</v>
  </rv>
  <rv s="0">
    <v>536870912</v>
    <v>Province of Albacete</v>
    <v>18c4f8c3-d2c8-c44a-b473-323e3e7de6d0</v>
    <v>en-GB</v>
    <v>Map</v>
  </rv>
  <rv s="0">
    <v>536870912</v>
    <v>Province of Badajoz</v>
    <v>d3262493-a230-ae9f-966a-9daeb967db68</v>
    <v>en-GB</v>
    <v>Map</v>
  </rv>
  <rv s="0">
    <v>536870912</v>
    <v>Province of Ourense</v>
    <v>bc6cca6b-fdac-c4e1-4afc-938d67981cf7</v>
    <v>en-GB</v>
    <v>Map</v>
  </rv>
  <rv s="0">
    <v>536870912</v>
    <v>Province of Cuenca</v>
    <v>b09a8a7a-9a31-9f4a-b2d3-41ce4141dcf1</v>
    <v>en-GB</v>
    <v>Map</v>
  </rv>
  <rv s="3">
    <v>22</v>
  </rv>
  <rv s="3">
    <v>23</v>
  </rv>
  <rv s="12">
    <v>#VALUE!</v>
    <v>en-GB</v>
    <v>1baf9d59-f443-e9f4-6e49-de048a073e3f</v>
    <v>536870912</v>
    <v>1</v>
    <v>90</v>
    <v>77</v>
    <v>Spain</v>
    <v>66</v>
    <v>78</v>
    <v>Map</v>
    <v>6</v>
    <v>91</v>
    <v>ES</v>
    <v>27</v>
    <v>399</v>
    <v>29</v>
    <v>30</v>
    <v>31</v>
    <v>388</v>
    <v>32</v>
    <v>33</v>
    <v>34</v>
    <v>EUR</v>
    <v>Spain, or the Kingdom of Spain, is a country in southwestern Europe with parts of territory in the Atlantic Ocean and across the Mediterranean Sea. The largest part of Spain is situated on the Iberian Peninsula; its territory also includes the Canary Islands in the Atlantic Ocean, the Balearic Islands in the Mediterranean Sea, and the autonomous cities of Ceuta and Melilla in Africa. The country's mainland is bordered to the south by Gibraltar; to the south and east by the Mediterranean Sea; to the north by France, Andorra and the Bay of Biscay; and to the west by Portugal and the Atlantic Ocean.</v>
    <v>35</v>
    <v>36</v>
    <v>37</v>
    <v>38</v>
    <v>39</v>
    <v>40</v>
    <v>41</v>
    <v>42</v>
    <v>400</v>
    <v>44</v>
    <v>388</v>
    <v>404</v>
    <v>48</v>
    <v>49</v>
    <v>50</v>
    <v>51</v>
    <v>52</v>
    <v>Spain</v>
    <v>Marcha Real</v>
    <v>405</v>
    <v>Spain</v>
    <v>54</v>
    <v>55</v>
    <v>406</v>
    <v>57</v>
    <v>58</v>
    <v>59</v>
    <v>60</v>
    <v>61</v>
    <v>62</v>
    <v>63</v>
    <v>64</v>
    <v>449</v>
    <v>83</v>
    <v>450</v>
    <v>84</v>
    <v>85</v>
    <v>Spain</v>
    <v>86</v>
    <v>mdp/vdpid/217</v>
  </rv>
  <rv s="0">
    <v>536870912</v>
    <v>Lisbon</v>
    <v>9d006cb5-bff4-48b4-9c83-443eaf418b11</v>
    <v>en-GB</v>
    <v>Map</v>
  </rv>
  <rv s="0">
    <v>536870912</v>
    <v>Lisbon District</v>
    <v>9aabe4c9-f2ff-745a-22b7-741589d147d3</v>
    <v>en-GB</v>
    <v>Map</v>
  </rv>
  <rv s="0">
    <v>536870912</v>
    <v>Portugal</v>
    <v>9e917e65-c588-a0b7-f336-52fc6b5b2052</v>
    <v>en-GB</v>
    <v>Map</v>
  </rv>
  <rv s="2">
    <v>9</v>
    <v>6</v>
    <v>100</v>
    <v>6</v>
    <v>0</v>
    <v>Image of Lisbon</v>
  </rv>
  <rv s="1">
    <fb>544851</fb>
    <v>8</v>
  </rv>
  <rv s="3">
    <v>24</v>
  </rv>
  <rv s="14">
    <v>#VALUE!</v>
    <v>en-GB</v>
    <v>9d006cb5-bff4-48b4-9c83-443eaf418b11</v>
    <v>536870912</v>
    <v>1</v>
    <v>97</v>
    <v>98</v>
    <v>Lisbon</v>
    <v>99</v>
    <v>78</v>
    <v>Map</v>
    <v>6</v>
    <v>7</v>
    <v>453</v>
    <v>90</v>
    <v>454</v>
    <v>Lisbon is the capital and the largest city of Portugal, with an estimated population of 544,851 within its administrative limits in an area of 100.05 km². Lisbon's urban area extends beyond the city's administrative limits with a population of around 2.7 million people, being the 11th-most populous urban area in the European Union. About 3 million people live in the Lisbon metropolitan area, making it the third largest metropolitan area in the Iberian Peninsula, after Madrid and Barcelona. It represents approximately 27% of the country's population. It is mainland Europe's westernmost capital city and the only one along the Atlantic coast. Lisbon lies in the western Iberian Peninsula on the Atlantic Ocean and the River Tagus. The westernmost portions of its metro area, the Portuguese Riviera, form the westernmost point of Continental Europe, culminating at Cabo da Roca.</v>
    <v>455</v>
    <v>93</v>
    <v>Lisbon</v>
    <v>456</v>
    <v>457</v>
    <v>Lisbon</v>
    <v>mdp/vdpid/161498680</v>
  </rv>
  <rv s="1">
    <fb>92212</fb>
    <v>8</v>
  </rv>
  <rv s="2">
    <v>10</v>
    <v>6</v>
    <v>106</v>
    <v>6</v>
    <v>0</v>
    <v>Image of Portugal</v>
  </rv>
  <rv s="0">
    <v>805306368</v>
    <v>António Costa (Prime Minister)</v>
    <v>461f25f6-d38c-4199-a2e3-c82f6d34e8cb</v>
    <v>en-GB</v>
    <v>Generic</v>
  </rv>
  <rv s="0">
    <v>805306368</v>
    <v>Marcelo Rebelo de Sousa (President)</v>
    <v>cd15af88-d571-7e9f-0e69-8c7f54821ed3</v>
    <v>en-GB</v>
    <v>Generic</v>
  </rv>
  <rv s="3">
    <v>25</v>
  </rv>
  <rv s="3">
    <v>26</v>
  </rv>
  <rv s="1">
    <fb>10269417</fb>
    <v>8</v>
  </rv>
  <rv s="0">
    <v>536870912</v>
    <v>Madeira</v>
    <v>fd1c338d-a716-e095-102a-5ac3106ddd68</v>
    <v>en-GB</v>
    <v>Map</v>
  </rv>
  <rv s="0">
    <v>536870912</v>
    <v>Azores</v>
    <v>162558d5-afd4-4b00-9d00-54ad16880f8b</v>
    <v>en-GB</v>
    <v>Map</v>
  </rv>
  <rv s="0">
    <v>536870912</v>
    <v>Castelo Branco</v>
    <v>fb4769a8-e791-44cf-b415-49b116c2d850</v>
    <v>en-GB</v>
    <v>Map</v>
  </rv>
  <rv s="0">
    <v>536870912</v>
    <v>Aveiro District</v>
    <v>2448fddc-7ab4-4061-c990-7ee0e882b83f</v>
    <v>en-GB</v>
    <v>Map</v>
  </rv>
  <rv s="0">
    <v>536870912</v>
    <v>Vila Real</v>
    <v>16491095-1ede-45bc-b4f9-d0b768b902b4</v>
    <v>en-GB</v>
    <v>Map</v>
  </rv>
  <rv s="0">
    <v>536870912</v>
    <v>Braga District</v>
    <v>bf9b0bf5-80ec-1d9e-e2bb-f15cfff91b3f</v>
    <v>en-GB</v>
    <v>Map</v>
  </rv>
  <rv s="0">
    <v>536870912</v>
    <v>Bragança District</v>
    <v>511e9c5a-156c-4018-b440-d68a04fdd311</v>
    <v>en-GB</v>
    <v>Map</v>
  </rv>
  <rv s="0">
    <v>536870912</v>
    <v>Coimbra District</v>
    <v>eaabde58-df44-d3f2-fcaf-2eb0b0c892ca</v>
    <v>en-GB</v>
    <v>Map</v>
  </rv>
  <rv s="0">
    <v>536870912</v>
    <v>Viseu District</v>
    <v>4af2c91e-a2d9-03c8-4bcc-d0e611b7a836</v>
    <v>en-GB</v>
    <v>Map</v>
  </rv>
  <rv s="0">
    <v>536870912</v>
    <v>Santarém District</v>
    <v>31ed3d3b-1669-48e6-9f45-7dff6e48107b</v>
    <v>en-GB</v>
    <v>Map</v>
  </rv>
  <rv s="0">
    <v>536870912</v>
    <v>Leiria District</v>
    <v>1e45c3ae-38a6-3ec3-3187-2e72c0cad027</v>
    <v>en-GB</v>
    <v>Map</v>
  </rv>
  <rv s="0">
    <v>536870912</v>
    <v>Porto District</v>
    <v>ab024f06-dfa0-f5d5-2ace-323a59e1c03f</v>
    <v>en-GB</v>
    <v>Map</v>
  </rv>
  <rv s="0">
    <v>536870912</v>
    <v>Faro District</v>
    <v>0f961e40-6a20-4ce7-9c8b-3c9484a39b31</v>
    <v>en-GB</v>
    <v>Map</v>
  </rv>
  <rv s="0">
    <v>536870912</v>
    <v>Beja District</v>
    <v>57132a4f-ab86-49cc-9a10-eea78fe194c6</v>
    <v>en-GB</v>
    <v>Map</v>
  </rv>
  <rv s="0">
    <v>536870912</v>
    <v>Guarda District</v>
    <v>a6ab4e89-16d3-c736-2651-53af26e5c9fb</v>
    <v>en-GB</v>
    <v>Map</v>
  </rv>
  <rv s="0">
    <v>536870912</v>
    <v>Viana do Castelo District</v>
    <v>e82c5675-25b8-35f8-dd22-1d162bbc45bd</v>
    <v>en-GB</v>
    <v>Map</v>
  </rv>
  <rv s="0">
    <v>536870912</v>
    <v>Setúbal District</v>
    <v>2443fa57-ba7a-ca6f-6988-b7bb998c209d</v>
    <v>en-GB</v>
    <v>Map</v>
  </rv>
  <rv s="0">
    <v>536870912</v>
    <v>Portalegre District</v>
    <v>0509a564-38fa-4a46-85bd-79ea9cfb105b</v>
    <v>en-GB</v>
    <v>Map</v>
  </rv>
  <rv s="0">
    <v>536870912</v>
    <v>Évora District</v>
    <v>9f2c1154-ba9c-42db-b07d-6ac93b22f847</v>
    <v>en-GB</v>
    <v>Map</v>
  </rv>
  <rv s="3">
    <v>27</v>
  </rv>
  <rv s="3">
    <v>28</v>
  </rv>
  <rv s="12">
    <v>#VALUE!</v>
    <v>en-GB</v>
    <v>9e917e65-c588-a0b7-f336-52fc6b5b2052</v>
    <v>536870912</v>
    <v>1</v>
    <v>104</v>
    <v>77</v>
    <v>Portugal</v>
    <v>66</v>
    <v>78</v>
    <v>Map</v>
    <v>6</v>
    <v>105</v>
    <v>PT</v>
    <v>96</v>
    <v>459</v>
    <v>98</v>
    <v>99</v>
    <v>100</v>
    <v>452</v>
    <v>101</v>
    <v>102</v>
    <v>103</v>
    <v>EUR</v>
    <v>Portugal, officially the Portuguese Republic, is a country whose mainland is located on the Iberian Peninsula of Southwestern Europe, and whose territory also includes the Atlantic archipelagos of the Azores and Madeira. It features the westernmost point in continental Europe, and its Iberian portion is bordered to the west and south by the Atlantic Ocean and to the north and east by Spain, the sole country to have a land border with Portugal. Its two archipelagos form two autonomous regions with their own regional governments. Lisbon is the capital and largest city.</v>
    <v>104</v>
    <v>105</v>
    <v>106</v>
    <v>107</v>
    <v>108</v>
    <v>109</v>
    <v>110</v>
    <v>111</v>
    <v>460</v>
    <v>113</v>
    <v>452</v>
    <v>463</v>
    <v>117</v>
    <v>118</v>
    <v>119</v>
    <v>120</v>
    <v>121</v>
    <v>Portugal</v>
    <v>A Portuguesa</v>
    <v>464</v>
    <v>Portugal</v>
    <v>123</v>
    <v>124</v>
    <v>465</v>
    <v>126</v>
    <v>127</v>
    <v>128</v>
    <v>129</v>
    <v>130</v>
    <v>131</v>
    <v>132</v>
    <v>133</v>
    <v>485</v>
    <v>154</v>
    <v>486</v>
    <v>155</v>
    <v>156</v>
    <v>Portugal</v>
    <v>157</v>
    <v>mdp/vdpid/193</v>
  </rv>
  <rv s="0">
    <v>536870912</v>
    <v>Berlin</v>
    <v>42784943-7c23-7672-5527-06f89b965cdf</v>
    <v>en-GB</v>
    <v>Map</v>
  </rv>
  <rv s="1">
    <fb>891.85</fb>
    <v>8</v>
  </rv>
  <rv s="0">
    <v>536870912</v>
    <v>Germany</v>
    <v>75c62d8e-1449-4e4d-b188-d9e88f878dd9</v>
    <v>en-GB</v>
    <v>Map</v>
  </rv>
  <rv s="0">
    <v>805306368</v>
    <v>Franziska Giffey (Mayor)</v>
    <v>0f36a115-cd69-74b0-1ad8-5ee6074d7916</v>
    <v>en-GB</v>
    <v>Generic</v>
  </rv>
  <rv s="3">
    <v>29</v>
  </rv>
  <rv s="1">
    <fb>3769495</fb>
    <v>8</v>
  </rv>
  <rv s="3">
    <v>30</v>
  </rv>
  <rv s="15">
    <v>#VALUE!</v>
    <v>en-GB</v>
    <v>42784943-7c23-7672-5527-06f89b965cdf</v>
    <v>536870912</v>
    <v>1</v>
    <v>109</v>
    <v>110</v>
    <v>Berlin</v>
    <v>66</v>
    <v>67</v>
    <v>Map</v>
    <v>6</v>
    <v>111</v>
    <v>DE-BE</v>
    <v>489</v>
    <v>490</v>
    <v>Berlin is the capital and largest city of Germany by both area and population. Its 3.7 million inhabitants make it the European Union's most populous city, according to population within city limits. One of Germany's sixteen constituent states, Berlin is surrounded by the State of Brandenburg and contiguous with Potsdam, Brandenburg's capital. Berlin's urban area, which has a population of around 4.5 million, is the second most populous urban area in Germany after the Ruhr. The Berlin-Brandenburg capital region has around 6.2 million inhabitants and is Germany's third-largest metropolitan region after the Rhine-Ruhr and Rhine-Main regions. There was an unsuccessful attempt to unify both states in 1996, and despite remaining separate, the two states cooperate on many matters to this day.</v>
    <v>162</v>
    <v>163</v>
    <v>492</v>
    <v>167</v>
    <v>Berlin</v>
    <v>169</v>
    <v>493</v>
    <v>494</v>
    <v>Berlin</v>
    <v>mdp/vdpid/7017957146650214401</v>
  </rv>
  <rv s="1">
    <fb>0.47678612319670299</fb>
    <v>33</v>
  </rv>
  <rv s="1">
    <fb>357022</fb>
    <v>8</v>
  </rv>
  <rv s="1">
    <fb>180000</fb>
    <v>8</v>
  </rv>
  <rv s="1">
    <fb>9.5</fb>
    <v>34</v>
  </rv>
  <rv s="1">
    <fb>49</fb>
    <v>35</v>
  </rv>
  <rv s="1">
    <fb>727972.84</fb>
    <v>8</v>
  </rv>
  <rv s="1">
    <fb>112.854887342124</fb>
    <v>36</v>
  </rv>
  <rv s="1">
    <fb>1.4456670146976E-2</fb>
    <v>33</v>
  </rv>
  <rv s="1">
    <fb>7035.4829747167596</fb>
    <v>8</v>
  </rv>
  <rv s="1">
    <fb>1.56</fb>
    <v>34</v>
  </rv>
  <rv s="1">
    <fb>0.326912067781085</fb>
    <v>33</v>
  </rv>
  <rv s="1">
    <fb>78.862551056754995</fb>
    <v>37</v>
  </rv>
  <rv s="1">
    <fb>1.39</fb>
    <v>38</v>
  </rv>
  <rv s="1">
    <fb>3845630030823.52</fb>
    <v>39</v>
  </rv>
  <rv s="1">
    <fb>1.0402236</fb>
    <v>33</v>
  </rv>
  <rv s="1">
    <fb>0.70246649999999999</fb>
    <v>33</v>
  </rv>
  <rv s="2">
    <v>11</v>
    <v>6</v>
    <v>121</v>
    <v>6</v>
    <v>0</v>
    <v>Image of Germany</v>
  </rv>
  <rv s="0">
    <v>805306368</v>
    <v>Olaf Scholz (Chancellor)</v>
    <v>d327207b-5560-1fae-17a8-4bc95203ea8e</v>
    <v>en-GB</v>
    <v>Generic</v>
  </rv>
  <rv s="0">
    <v>805306368</v>
    <v>Peter Altmaier (Minister)</v>
    <v>3d95f70d-7234-720a-54cb-ed3fa7fffd7f</v>
    <v>en-GB</v>
    <v>Generic</v>
  </rv>
  <rv s="0">
    <v>805306368</v>
    <v>Frank-Walter Steinmeier (President)</v>
    <v>a6d595f9-116c-57de-2b35-48e9bde9f83d</v>
    <v>en-GB</v>
    <v>Generic</v>
  </rv>
  <rv s="3">
    <v>31</v>
  </rv>
  <rv s="4">
    <v>https://www.bing.com/search?q=germany&amp;form=skydnc</v>
    <v>Learn more on Bing</v>
  </rv>
  <rv s="1">
    <fb>80.892682926829295</fb>
    <v>37</v>
  </rv>
  <rv s="1">
    <fb>2098173930000</fb>
    <v>39</v>
  </rv>
  <rv s="1">
    <fb>9.99</fb>
    <v>38</v>
  </rv>
  <rv s="3">
    <v>32</v>
  </rv>
  <rv s="1">
    <fb>0.12528421940000001</fb>
    <v>33</v>
  </rv>
  <rv s="1">
    <fb>4.2488000000000001</fb>
    <v>34</v>
  </rv>
  <rv s="1">
    <fb>83132799</fb>
    <v>8</v>
  </rv>
  <rv s="1">
    <fb>0.22800000000000001</fb>
    <v>33</v>
  </rv>
  <rv s="1">
    <fb>0.24600000000000002</fb>
    <v>33</v>
  </rv>
  <rv s="1">
    <fb>0.39600000000000002</fb>
    <v>33</v>
  </rv>
  <rv s="1">
    <fb>2.8999999999999998E-2</fb>
    <v>33</v>
  </rv>
  <rv s="1">
    <fb>7.5999999999999998E-2</fb>
    <v>33</v>
  </rv>
  <rv s="1">
    <fb>0.128</fb>
    <v>33</v>
  </rv>
  <rv s="1">
    <fb>0.17100000000000001</fb>
    <v>33</v>
  </rv>
  <rv s="1">
    <fb>0.60811000823974604</fb>
    <v>33</v>
  </rv>
  <rv s="0">
    <v>536870912</v>
    <v>Hamburg</v>
    <v>0937ec8c-54f7-94c7-d7b8-0ea8c6cfce6f</v>
    <v>en-GB</v>
    <v>Map</v>
  </rv>
  <rv s="0">
    <v>536870912</v>
    <v>Bavaria</v>
    <v>e4f7e69f-e1bc-189a-d23d-b2ecee6a88d5</v>
    <v>en-GB</v>
    <v>Map</v>
  </rv>
  <rv s="0">
    <v>536870912</v>
    <v>Brandenburg</v>
    <v>c841173c-24ae-1249-8be1-c2ff2ec02111</v>
    <v>en-GB</v>
    <v>Map</v>
  </rv>
  <rv s="0">
    <v>536870912</v>
    <v>Saxony</v>
    <v>db04ed86-d227-952f-dbae-2881e92d2d0a</v>
    <v>en-GB</v>
    <v>Map</v>
  </rv>
  <rv s="0">
    <v>536870912</v>
    <v>Saarland</v>
    <v>077b3058-0078-d492-aee0-52b8d21ee39e</v>
    <v>en-GB</v>
    <v>Map</v>
  </rv>
  <rv s="0">
    <v>536870912</v>
    <v>Schleswig-Holstein</v>
    <v>6dde426c-96c7-18bd-f4e1-b41b7575557a</v>
    <v>en-GB</v>
    <v>Map</v>
  </rv>
  <rv s="0">
    <v>536870912</v>
    <v>North Rhine-Westphalia</v>
    <v>7192ac29-308b-9018-2da7-1d16b5afb233</v>
    <v>en-GB</v>
    <v>Map</v>
  </rv>
  <rv s="0">
    <v>536870912</v>
    <v>Baden-Württemberg</v>
    <v>e4767d1d-15fd-a8bd-1fcd-f8214d3c189f</v>
    <v>en-GB</v>
    <v>Map</v>
  </rv>
  <rv s="0">
    <v>536870912</v>
    <v>Mecklenburg-Vorpommern</v>
    <v>b0adc1b4-6fe2-3ad0-81e1-78c9ba53cedb</v>
    <v>en-GB</v>
    <v>Map</v>
  </rv>
  <rv s="0">
    <v>536870912</v>
    <v>Lower Saxony</v>
    <v>c91589e2-9db8-e9f2-b60d-1000c3502bc2</v>
    <v>en-GB</v>
    <v>Map</v>
  </rv>
  <rv s="0">
    <v>536870912</v>
    <v>Hesse</v>
    <v>90fbe078-3753-40db-ff12-40aa58e76c5f</v>
    <v>en-GB</v>
    <v>Map</v>
  </rv>
  <rv s="0">
    <v>536870912</v>
    <v>Saxony-Anhalt</v>
    <v>6af91c75-020d-7d63-0e2d-ab73f9f73280</v>
    <v>en-GB</v>
    <v>Map</v>
  </rv>
  <rv s="0">
    <v>536870912</v>
    <v>Rhineland-Palatinate</v>
    <v>b2634da1-26f3-4709-d63d-9f9489a33d9c</v>
    <v>en-GB</v>
    <v>Map</v>
  </rv>
  <rv s="0">
    <v>536870912</v>
    <v>Bremen</v>
    <v>70a6262d-6ded-6a1a-8a3d-e24538d50a05</v>
    <v>en-GB</v>
    <v>Map</v>
  </rv>
  <rv s="3">
    <v>33</v>
  </rv>
  <rv s="1">
    <fb>0.11505903952014901</fb>
    <v>33</v>
  </rv>
  <rv s="3">
    <v>34</v>
  </rv>
  <rv s="1">
    <fb>0.48799999999999999</fb>
    <v>33</v>
  </rv>
  <rv s="1">
    <fb>3.0429999828338602E-2</fb>
    <v>40</v>
  </rv>
  <rv s="1">
    <fb>64324835</fb>
    <v>8</v>
  </rv>
  <rv s="12">
    <v>#VALUE!</v>
    <v>en-GB</v>
    <v>75c62d8e-1449-4e4d-b188-d9e88f878dd9</v>
    <v>536870912</v>
    <v>1</v>
    <v>119</v>
    <v>77</v>
    <v>Germany</v>
    <v>66</v>
    <v>78</v>
    <v>Map</v>
    <v>6</v>
    <v>120</v>
    <v>DE</v>
    <v>496</v>
    <v>497</v>
    <v>498</v>
    <v>499</v>
    <v>500</v>
    <v>488</v>
    <v>501</v>
    <v>502</v>
    <v>503</v>
    <v>EUR</v>
    <v>Germany, by formality the Federal Republic of Germany, is a country in Central Europe. It is the second most populous country in Europe after Russia, and the most populous member state of the European Union. Germany is situated between the Baltic and North seas to the north, and the Alps to the south; it covers an area of 357,022 square kilometres, with a population of over 83 million within its 16 constituent states. Germany borders Denmark to the north, Poland and the Czech Republic to the east, Austria and Switzerland to the south, and France, Luxembourg, Belgium, and the Netherlands to the west. The nation's capital and largest city is Berlin and its financial centre is Frankfurt; the largest urban area is the Ruhr.</v>
    <v>504</v>
    <v>505</v>
    <v>506</v>
    <v>507</v>
    <v>508</v>
    <v>509</v>
    <v>510</v>
    <v>511</v>
    <v>512</v>
    <v>113</v>
    <v>488</v>
    <v>516</v>
    <v>517</v>
    <v>518</v>
    <v>519</v>
    <v>221</v>
    <v>520</v>
    <v>Germany</v>
    <v>Deutschlandlied</v>
    <v>521</v>
    <v>Federal Republic of Germany</v>
    <v>522</v>
    <v>523</v>
    <v>524</v>
    <v>525</v>
    <v>526</v>
    <v>527</v>
    <v>528</v>
    <v>529</v>
    <v>530</v>
    <v>531</v>
    <v>532</v>
    <v>547</v>
    <v>548</v>
    <v>549</v>
    <v>550</v>
    <v>551</v>
    <v>Germany</v>
    <v>552</v>
    <v>mdp/vdpid/94</v>
  </rv>
  <rv s="0">
    <v>536870912</v>
    <v>Paris</v>
    <v>85584d24-2116-5b98-89f9-5714db931ac6</v>
    <v>en-GB</v>
    <v>Map</v>
  </rv>
  <rv s="0">
    <v>536870912</v>
    <v>Île-de-France</v>
    <v>ba200862-fc37-6d22-3434-c6e709faa507</v>
    <v>en-GB</v>
    <v>Map</v>
  </rv>
  <rv s="0">
    <v>536870912</v>
    <v>France</v>
    <v>c7bfe2de-4f82-e23c-ae42-8544b5b5c0ea</v>
    <v>en-GB</v>
    <v>Map</v>
  </rv>
  <rv s="1">
    <fb>48.856895000000002</fb>
    <v>9</v>
  </rv>
  <rv s="0">
    <v>805306368</v>
    <v>Anne Hidalgo (Mayor)</v>
    <v>f26212ed-b25d-e4f8-ecf0-85777b9d38cf</v>
    <v>en-GB</v>
    <v>Generic</v>
  </rv>
  <rv s="3">
    <v>35</v>
  </rv>
  <rv s="1">
    <fb>2.3508486999999998</fb>
    <v>9</v>
  </rv>
  <rv s="1">
    <fb>2244000</fb>
    <v>8</v>
  </rv>
  <rv s="13">
    <v>#VALUE!</v>
    <v>en-GB</v>
    <v>85584d24-2116-5b98-89f9-5714db931ac6</v>
    <v>536870912</v>
    <v>1</v>
    <v>127</v>
    <v>85</v>
    <v>Paris</v>
    <v>66</v>
    <v>67</v>
    <v>Map</v>
    <v>6</v>
    <v>128</v>
    <v>555</v>
    <v>174</v>
    <v>556</v>
    <v>Paris is the capital and most populous city of France, with an estimated population of 2,165,423 residents in 2019 in an area of more than 105 km², making it the 34th most densely populated city in the world in 2020. Since the 17th century, Paris has been one of the world's major centres of finance, diplomacy, commerce, fashion, gastronomy, science, and arts, and has sometimes been referred to as the capital of the world. The City of Paris is the centre and seat of government of the region and province of Île-de-France, or Paris Region, with an estimated population of 12,997,058 in 2020, or about 18% of the population of France. The Paris Region had a GDP of €709 billion in 2017. According to the Economist Intelligence Unit Worldwide Cost of Living Survey, in 2021 Paris was the city with the second-highest cost of living in the world, tied with Singapore, and after Tel Aviv.</v>
    <v>557</v>
    <v>559</v>
    <v>180</v>
    <v>560</v>
    <v>Paris</v>
    <v>561</v>
    <v>397</v>
    <v>Paris</v>
    <v>mdp/vdpid/7012570570818584578</v>
  </rv>
  <rv s="1">
    <fb>0.524475441661716</fb>
    <v>33</v>
  </rv>
  <rv s="1">
    <fb>643801</fb>
    <v>8</v>
  </rv>
  <rv s="1">
    <fb>307000</fb>
    <v>8</v>
  </rv>
  <rv s="1">
    <fb>11.3</fb>
    <v>34</v>
  </rv>
  <rv s="1">
    <fb>33</fb>
    <v>35</v>
  </rv>
  <rv s="1">
    <fb>303275.56800000003</fb>
    <v>8</v>
  </rv>
  <rv s="1">
    <fb>110.04856675289</fb>
    <v>36</v>
  </rv>
  <rv s="1">
    <fb>1.1082549228829199E-2</fb>
    <v>33</v>
  </rv>
  <rv s="1">
    <fb>6939.5214736692897</fb>
    <v>8</v>
  </rv>
  <rv s="1">
    <fb>1.88</fb>
    <v>34</v>
  </rv>
  <rv s="1">
    <fb>0.31233278442262596</fb>
    <v>33</v>
  </rv>
  <rv s="1">
    <fb>46.487970872236403</fb>
    <v>37</v>
  </rv>
  <rv s="1">
    <fb>2715518274227.4502</fb>
    <v>39</v>
  </rv>
  <rv s="1">
    <fb>1.0251076000000001</fb>
    <v>33</v>
  </rv>
  <rv s="1">
    <fb>0.65629000000000004</fb>
    <v>33</v>
  </rv>
  <rv s="1">
    <fb>3.4</fb>
    <v>37</v>
  </rv>
  <rv s="0">
    <v>805306368</v>
    <v>Emmanuel Macron (President)</v>
    <v>35be5a56-7a78-6352-b158-60da8f84c858</v>
    <v>en-GB</v>
    <v>Generic</v>
  </rv>
  <rv s="0">
    <v>805306368</v>
    <v>Roselyne Bachelot (Minister)</v>
    <v>2a0c630d-70bc-51cd-a63a-068dc4e0f0b1</v>
    <v>en-GB</v>
    <v>Generic</v>
  </rv>
  <rv s="0">
    <v>805306368</v>
    <v>Gérald Darmanin (Minister)</v>
    <v>3038fdd5-aac1-41a8-0374-bbf6c1c6a306</v>
    <v>en-GB</v>
    <v>Generic</v>
  </rv>
  <rv s="0">
    <v>805306368</v>
    <v>Élisabeth Borne (Minister)</v>
    <v>c29b2cc1-1c10-86a9-30a2-9ab14a3d6e89</v>
    <v>en-GB</v>
    <v>Generic</v>
  </rv>
  <rv s="0">
    <v>805306368</v>
    <v>Annick Girardin (Minister)</v>
    <v>d6ee7601-535b-d78f-561e-00070574adae</v>
    <v>en-GB</v>
    <v>Generic</v>
  </rv>
  <rv s="0">
    <v>805306368</v>
    <v>Sébastien Lecornu (Minister)</v>
    <v>e47a48ba-584f-b611-b461-996ec493e56d</v>
    <v>en-GB</v>
    <v>Generic</v>
  </rv>
  <rv s="3">
    <v>36</v>
  </rv>
  <rv s="4">
    <v>https://www.bing.com/search?q=france&amp;form=skydnc</v>
    <v>Learn more on Bing</v>
  </rv>
  <rv s="1">
    <fb>82.526829268292701</fb>
    <v>37</v>
  </rv>
  <rv s="1">
    <fb>2365950236659.3599</fb>
    <v>39</v>
  </rv>
  <rv s="1">
    <fb>11.16</fb>
    <v>38</v>
  </rv>
  <rv s="3">
    <v>37</v>
  </rv>
  <rv s="1">
    <fb>6.7968269799999995E-2</fb>
    <v>33</v>
  </rv>
  <rv s="1">
    <fb>3.2671999999999999</fb>
    <v>34</v>
  </rv>
  <rv s="1">
    <fb>67059887</fb>
    <v>8</v>
  </rv>
  <rv s="1">
    <fb>0.21899999999999997</fb>
    <v>33</v>
  </rv>
  <rv s="1">
    <fb>0.25800000000000001</fb>
    <v>33</v>
  </rv>
  <rv s="1">
    <fb>0.4</fb>
    <v>33</v>
  </rv>
  <rv s="1">
    <fb>3.2000000000000001E-2</fb>
    <v>33</v>
  </rv>
  <rv s="1">
    <fb>8.1000000000000003E-2</fb>
    <v>33</v>
  </rv>
  <rv s="1">
    <fb>0.13</fb>
    <v>33</v>
  </rv>
  <rv s="1">
    <fb>0.16899999999999998</fb>
    <v>33</v>
  </rv>
  <rv s="1">
    <fb>0.55125999450683605</fb>
    <v>33</v>
  </rv>
  <rv s="0">
    <v>536870912</v>
    <v>Normandy</v>
    <v>3e508a17-1303-ffc1-9d13-493d159d305c</v>
    <v>en-GB</v>
    <v>Map</v>
  </rv>
  <rv s="0">
    <v>536870912</v>
    <v>Ain</v>
    <v>71607760-ab2a-d381-87a5-d1eac5be2f1c</v>
    <v>en-GB</v>
    <v>Map</v>
  </rv>
  <rv s="0">
    <v>536870912</v>
    <v>Val-d'Oise</v>
    <v>0ac64226-15b9-f259-7f89-a07ffeac79ec</v>
    <v>en-GB</v>
    <v>Map</v>
  </rv>
  <rv s="0">
    <v>536870912</v>
    <v>Savoie</v>
    <v>b37e2d23-cea0-3534-4dd1-b0d7dd6fde8f</v>
    <v>en-GB</v>
    <v>Map</v>
  </rv>
  <rv s="0">
    <v>536870912</v>
    <v>Réunion</v>
    <v>7d1fa0b0-e3d7-d903-d64d-489c03fd0a75</v>
    <v>en-GB</v>
    <v>Map</v>
  </rv>
  <rv s="0">
    <v>536870912</v>
    <v>Yonne</v>
    <v>154c2e88-9a11-4cd1-d5e3-87f6a02d46f5</v>
    <v>en-GB</v>
    <v>Map</v>
  </rv>
  <rv s="0">
    <v>536870912</v>
    <v>Lot</v>
    <v>e4a39c0f-80df-9cf6-8c6c-e8a2a63fec3a</v>
    <v>en-GB</v>
    <v>Map</v>
  </rv>
  <rv s="0">
    <v>536870912</v>
    <v>Vendée</v>
    <v>7fe21032-33eb-c61f-ab06-3796d48b9159</v>
    <v>en-GB</v>
    <v>Map</v>
  </rv>
  <rv s="0">
    <v>536870912</v>
    <v>Drôme</v>
    <v>292bc275-84e4-8bc3-5400-14bc5ca71d73</v>
    <v>en-GB</v>
    <v>Map</v>
  </rv>
  <rv s="0">
    <v>536870912</v>
    <v>Martinique</v>
    <v>f245adef-ee09-9352-e265-2a287e5eadbe</v>
    <v>en-GB</v>
    <v>Map</v>
  </rv>
  <rv s="0">
    <v>536870912</v>
    <v>Hauts-de-Seine</v>
    <v>b65da94e-a174-9970-cad6-b3bd1bbe50f8</v>
    <v>en-GB</v>
    <v>Map</v>
  </rv>
  <rv s="0">
    <v>536870912</v>
    <v>Gironde</v>
    <v>5ac5e96b-c1a3-0353-c9e6-6e32bcd9b2a1</v>
    <v>en-GB</v>
    <v>Map</v>
  </rv>
  <rv s="0">
    <v>536870912</v>
    <v>Dordogne</v>
    <v>be1aea9d-0a5e-02e0-5905-9fdf5c3a0511</v>
    <v>en-GB</v>
    <v>Map</v>
  </rv>
  <rv s="0">
    <v>536870912</v>
    <v>Jura</v>
    <v>1c0af201-ce58-8ae7-5f8c-67fdaa748fb2</v>
    <v>en-GB</v>
    <v>Map</v>
  </rv>
  <rv s="0">
    <v>536870912</v>
    <v>Indre</v>
    <v>644a2058-4d87-9f16-ed9e-dff4729d747c</v>
    <v>en-GB</v>
    <v>Map</v>
  </rv>
  <rv s="0">
    <v>536870912</v>
    <v>Guadeloupe</v>
    <v>56b80aaa-d840-1a73-13ba-70eb9b61a642</v>
    <v>en-GB</v>
    <v>Map</v>
  </rv>
  <rv s="0">
    <v>536870912</v>
    <v>Aube</v>
    <v>1792c130-60be-106e-1e44-cc254919ce05</v>
    <v>en-GB</v>
    <v>Map</v>
  </rv>
  <rv s="0">
    <v>536870912</v>
    <v>Oise</v>
    <v>a806252b-efff-01b7-91bd-c36bc35224f3</v>
    <v>en-GB</v>
    <v>Map</v>
  </rv>
  <rv s="0">
    <v>536870912</v>
    <v>Vienne</v>
    <v>108aa0c8-eac5-ed42-9c55-7576e85f4a8f</v>
    <v>en-GB</v>
    <v>Map</v>
  </rv>
  <rv s="0">
    <v>536870912</v>
    <v>Ardèche</v>
    <v>bf1c9742-98a2-4942-a0cb-c8a2f0ff9701</v>
    <v>en-GB</v>
    <v>Map</v>
  </rv>
  <rv s="0">
    <v>536870912</v>
    <v>Vosges</v>
    <v>5bd42721-6632-bb30-1f77-8a3f762976ac</v>
    <v>en-GB</v>
    <v>Map</v>
  </rv>
  <rv s="0">
    <v>536870912</v>
    <v>Saint Pierre and Miquelon</v>
    <v>aa096cf4-a54e-cd44-7204-c28310ca40f4</v>
    <v>en-GB</v>
    <v>Map</v>
  </rv>
  <rv s="0">
    <v>536870912</v>
    <v>French Guiana</v>
    <v>328feb88-20d1-8674-1574-3ce8cc0bc9e9</v>
    <v>en-GB</v>
    <v>Map</v>
  </rv>
  <rv s="0">
    <v>536870912</v>
    <v>Rhône</v>
    <v>cc174d15-ddf1-2f1e-8656-f3af821f4831</v>
    <v>en-GB</v>
    <v>Map</v>
  </rv>
  <rv s="0">
    <v>536870912</v>
    <v>Calvados</v>
    <v>c94f1118-6a31-5bbb-b12c-593bc8d4c180</v>
    <v>en-GB</v>
    <v>Map</v>
  </rv>
  <rv s="0">
    <v>536870912</v>
    <v>Saint Barthélemy</v>
    <v>5c5081a9-306e-4f05-73a2-32b95a4b8600</v>
    <v>en-GB</v>
    <v>Map</v>
  </rv>
  <rv s="0">
    <v>536870912</v>
    <v>Charente</v>
    <v>650da742-ab9d-e1cf-2b50-4b271b4c82ae</v>
    <v>en-GB</v>
    <v>Map</v>
  </rv>
  <rv s="0">
    <v>536870912</v>
    <v>Pas-de-Calais</v>
    <v>0440f94f-7798-d9cc-6b38-da253dcc8637</v>
    <v>en-GB</v>
    <v>Map</v>
  </rv>
  <rv s="0">
    <v>536870912</v>
    <v>Saône-et-Loire</v>
    <v>00a02b2b-4704-ef60-955a-22d0fd2b7f56</v>
    <v>en-GB</v>
    <v>Map</v>
  </rv>
  <rv s="0">
    <v>536870912</v>
    <v>Landes</v>
    <v>fb21cbe8-be4b-f5f6-6e17-738a5f878e58</v>
    <v>en-GB</v>
    <v>Map</v>
  </rv>
  <rv s="0">
    <v>536870912</v>
    <v>Aveyron</v>
    <v>661b9ea4-381a-b275-475e-c080ae790696</v>
    <v>en-GB</v>
    <v>Map</v>
  </rv>
  <rv s="0">
    <v>536870912</v>
    <v>Cantal</v>
    <v>e9810dcc-9312-b403-0145-c937d59e4ce7</v>
    <v>en-GB</v>
    <v>Map</v>
  </rv>
  <rv s="0">
    <v>536870912</v>
    <v>Seine-et-Marne</v>
    <v>584f98fc-30fd-f6be-956d-5aba683c1b4c</v>
    <v>en-GB</v>
    <v>Map</v>
  </rv>
  <rv s="0">
    <v>536870912</v>
    <v>Ille-et-Vilaine</v>
    <v>81c210ee-46e3-91d8-1da8-228bb8a241f2</v>
    <v>en-GB</v>
    <v>Map</v>
  </rv>
  <rv s="0">
    <v>536870912</v>
    <v>Haute-Savoie</v>
    <v>a978c224-46e5-a035-f725-4b94288b7694</v>
    <v>en-GB</v>
    <v>Map</v>
  </rv>
  <rv s="0">
    <v>536870912</v>
    <v>Loire-Atlantique</v>
    <v>bf4a4628-ceb5-b5d0-4889-890b473d3127</v>
    <v>en-GB</v>
    <v>Map</v>
  </rv>
  <rv s="0">
    <v>536870912</v>
    <v>Nouvelle-Aquitaine</v>
    <v>7955f423-af31-d2e0-f045-b14668178865</v>
    <v>en-GB</v>
    <v>Map</v>
  </rv>
  <rv s="0">
    <v>536870912</v>
    <v>Charente-Maritime</v>
    <v>10a89f8a-f91f-d426-88f4-6a1ac9788f5d</v>
    <v>en-GB</v>
    <v>Map</v>
  </rv>
  <rv s="0">
    <v>536870912</v>
    <v>Deux-Sèvres</v>
    <v>a5ffcc63-68c6-7a82-3a9e-7002aefac16b</v>
    <v>en-GB</v>
    <v>Map</v>
  </rv>
  <rv s="0">
    <v>536870912</v>
    <v>Sarthe</v>
    <v>4c97d56e-bc2d-9a00-8c8b-2cc6703c179b</v>
    <v>en-GB</v>
    <v>Map</v>
  </rv>
  <rv s="0">
    <v>536870912</v>
    <v>Haute-Saône</v>
    <v>a2d8b2c4-ec74-84ee-777c-2f8277384514</v>
    <v>en-GB</v>
    <v>Map</v>
  </rv>
  <rv s="0">
    <v>536870912</v>
    <v>Lot-et-Garonne</v>
    <v>847c1ec4-708f-d3ba-ef4a-ba275d255773</v>
    <v>en-GB</v>
    <v>Map</v>
  </rv>
  <rv s="0">
    <v>536870912</v>
    <v>Hautes-Alpes</v>
    <v>92cfefe0-e047-398b-6d1f-6ab195cf9863</v>
    <v>en-GB</v>
    <v>Map</v>
  </rv>
  <rv s="0">
    <v>536870912</v>
    <v>Nord</v>
    <v>bee37859-eaf9-d994-d502-267df9fdc01c</v>
    <v>en-GB</v>
    <v>Map</v>
  </rv>
  <rv s="0">
    <v>536870912</v>
    <v>French Polynesia</v>
    <v>340e15d5-6b74-8497-bbfa-4c1f323f5483</v>
    <v>en-GB</v>
    <v>Map</v>
  </rv>
  <rv s="0">
    <v>536870912</v>
    <v>New Caledonia</v>
    <v>25b2aeab-b390-d01e-1f7f-90be767bd899</v>
    <v>en-GB</v>
    <v>Map</v>
  </rv>
  <rv s="0">
    <v>536870912</v>
    <v>Corsica</v>
    <v>7dae6ff4-03ba-2162-da4b-d4cf544ad43f</v>
    <v>en-GB</v>
    <v>Map</v>
  </rv>
  <rv s="0">
    <v>536870912</v>
    <v>Wallis and Futuna</v>
    <v>db8aa235-58e4-9e3d-8799-6839f3d35025</v>
    <v>en-GB</v>
    <v>Map</v>
  </rv>
  <rv s="0">
    <v>536870912</v>
    <v>Isère</v>
    <v>12375c6d-9f12-163c-5c43-5b6f59406225</v>
    <v>en-GB</v>
    <v>Map</v>
  </rv>
  <rv s="0">
    <v>536870912</v>
    <v>Mayotte</v>
    <v>545cc8bc-c211-076d-ee26-d2ff955eb394</v>
    <v>en-GB</v>
    <v>Map</v>
  </rv>
  <rv s="0">
    <v>536870912</v>
    <v>Centre-Val de Loire</v>
    <v>6aafd8c4-aba3-0388-62a3-d302e77f40c4</v>
    <v>en-GB</v>
    <v>Map</v>
  </rv>
  <rv s="0">
    <v>536870912</v>
    <v>Val-de-Marne</v>
    <v>5b4d53ad-f7a6-a80c-27a1-6adc32898a8b</v>
    <v>en-GB</v>
    <v>Map</v>
  </rv>
  <rv s="0">
    <v>536870912</v>
    <v>Corse-du-Sud</v>
    <v>4844fa58-0f98-1617-f356-09174f8729a3</v>
    <v>en-GB</v>
    <v>Map</v>
  </rv>
  <rv s="0">
    <v>536870912</v>
    <v>Eure-et-Loir</v>
    <v>1e4727b6-6261-8213-f441-5e3789bfe140</v>
    <v>en-GB</v>
    <v>Map</v>
  </rv>
  <rv s="0">
    <v>536870912</v>
    <v>Seine-Saint-Denis</v>
    <v>3d5ea2f7-2680-43ce-73aa-863db59b3648</v>
    <v>en-GB</v>
    <v>Map</v>
  </rv>
  <rv s="0">
    <v>536870912</v>
    <v>Pyrénées-Orientales</v>
    <v>6f559f32-59f1-428e-3959-bbce1712c380</v>
    <v>en-GB</v>
    <v>Map</v>
  </rv>
  <rv s="0">
    <v>536870912</v>
    <v>Bouches-du-Rhône</v>
    <v>d8a7c01f-e5cb-2eb2-d5b6-fc9cc97b3489</v>
    <v>en-GB</v>
    <v>Map</v>
  </rv>
  <rv s="0">
    <v>536870912</v>
    <v>Indre-et-Loire</v>
    <v>57d64575-78c8-e5c0-f5a3-4c4ec79d9bd4</v>
    <v>en-GB</v>
    <v>Map</v>
  </rv>
  <rv s="0">
    <v>536870912</v>
    <v>Ariège</v>
    <v>8550d5a1-b844-4c89-abe4-c6b979c99db4</v>
    <v>en-GB</v>
    <v>Map</v>
  </rv>
  <rv s="0">
    <v>536870912</v>
    <v>Pyrénées-Atlantiques</v>
    <v>7a55ca85-3992-84c3-18bd-faab3cd83815</v>
    <v>en-GB</v>
    <v>Map</v>
  </rv>
  <rv s="0">
    <v>536870912</v>
    <v>Seine-Maritime</v>
    <v>a21dc708-3140-5a55-7d01-803030360fb2</v>
    <v>en-GB</v>
    <v>Map</v>
  </rv>
  <rv s="0">
    <v>536870912</v>
    <v>Hérault</v>
    <v>96589375-a7e9-f023-02e9-25d2769bac95</v>
    <v>en-GB</v>
    <v>Map</v>
  </rv>
  <rv s="0">
    <v>536870912</v>
    <v>Meurthe-et-Moselle</v>
    <v>a85ebbf4-0a84-6ffd-ba7a-00e5d636d799</v>
    <v>en-GB</v>
    <v>Map</v>
  </rv>
  <rv s="0">
    <v>536870912</v>
    <v>Maine-et-Loire</v>
    <v>dbd78e30-07ab-d6d1-cb42-fc01fb10a1e6</v>
    <v>en-GB</v>
    <v>Map</v>
  </rv>
  <rv s="0">
    <v>536870912</v>
    <v>Côte-d'Or</v>
    <v>76b7f10f-67c3-85cf-9245-26043c740b36</v>
    <v>en-GB</v>
    <v>Map</v>
  </rv>
  <rv s="0">
    <v>536870912</v>
    <v>Côtes-d'Armor</v>
    <v>3ac3ca4c-ae1d-7922-48a0-0fffb472646e</v>
    <v>en-GB</v>
    <v>Map</v>
  </rv>
  <rv s="0">
    <v>536870912</v>
    <v>Essonne</v>
    <v>0cc4a3e8-51e5-8308-126a-7f33952f640c</v>
    <v>en-GB</v>
    <v>Map</v>
  </rv>
  <rv s="0">
    <v>536870912</v>
    <v>Alpes-Maritimes</v>
    <v>83901c43-49d0-9f7e-723e-4ca6daaacce2</v>
    <v>en-GB</v>
    <v>Map</v>
  </rv>
  <rv s="0">
    <v>536870912</v>
    <v>Aude</v>
    <v>4dffa200-dea8-f5a0-2240-7e41a42ef177</v>
    <v>en-GB</v>
    <v>Map</v>
  </rv>
  <rv s="0">
    <v>536870912</v>
    <v>Corrèze</v>
    <v>c5e194d5-0ea5-4d9d-9897-23fe510b1a40</v>
    <v>en-GB</v>
    <v>Map</v>
  </rv>
  <rv s="0">
    <v>536870912</v>
    <v>Hautes-Pyrénées</v>
    <v>944accb5-1745-85f2-073a-28399fa8a190</v>
    <v>en-GB</v>
    <v>Map</v>
  </rv>
  <rv s="0">
    <v>536870912</v>
    <v>Alpes-de-Haute-Provence</v>
    <v>2463acbf-5353-3875-acb9-7279cc06fb2c</v>
    <v>en-GB</v>
    <v>Map</v>
  </rv>
  <rv s="0">
    <v>536870912</v>
    <v>Var</v>
    <v>e65178f9-77a3-fb70-b0b7-8c6ca7b078da</v>
    <v>en-GB</v>
    <v>Map</v>
  </rv>
  <rv s="0">
    <v>536870912</v>
    <v>Gard</v>
    <v>a2b00a36-67df-6330-1cb0-8b76f83f62ef</v>
    <v>en-GB</v>
    <v>Map</v>
  </rv>
  <rv s="0">
    <v>536870912</v>
    <v>Loiret</v>
    <v>a6fbc858-6174-1507-1ef3-722b5331eb96</v>
    <v>en-GB</v>
    <v>Map</v>
  </rv>
  <rv s="0">
    <v>536870912</v>
    <v>Loir-et-Cher</v>
    <v>15209369-9104-c387-8520-a5f92fd0704c</v>
    <v>en-GB</v>
    <v>Map</v>
  </rv>
  <rv s="0">
    <v>536870912</v>
    <v>Haute-Garonne</v>
    <v>c75adb65-dddc-9ed9-5ec6-599b9553fdac</v>
    <v>en-GB</v>
    <v>Map</v>
  </rv>
  <rv s="0">
    <v>536870912</v>
    <v>Somme</v>
    <v>37ea7117-b9d2-d6e6-f85c-c89a0b536bc9</v>
    <v>en-GB</v>
    <v>Map</v>
  </rv>
  <rv s="0">
    <v>536870912</v>
    <v>Yvelines</v>
    <v>347a10bd-a260-932d-0437-44fbe26803c7</v>
    <v>en-GB</v>
    <v>Map</v>
  </rv>
  <rv s="0">
    <v>536870912</v>
    <v>Haute-Vienne</v>
    <v>0e6e4aef-9741-f2df-dd2a-70065668ce21</v>
    <v>en-GB</v>
    <v>Map</v>
  </rv>
  <rv s="0">
    <v>536870912</v>
    <v>Bas-Rhin</v>
    <v>43349d05-a47b-cc66-cf48-66301f22f744</v>
    <v>en-GB</v>
    <v>Map</v>
  </rv>
  <rv s="0">
    <v>536870912</v>
    <v>Puy-de-Dôme</v>
    <v>a8c0bbce-45c3-3fe6-28d3-08d27113db03</v>
    <v>en-GB</v>
    <v>Map</v>
  </rv>
  <rv s="0">
    <v>536870912</v>
    <v>Gers</v>
    <v>ceea0c3c-7c1a-09ec-7796-1cce63160125</v>
    <v>en-GB</v>
    <v>Map</v>
  </rv>
  <rv s="0">
    <v>536870912</v>
    <v>Eure</v>
    <v>ed6304ad-df4b-13a8-59be-ea574dc5bae1</v>
    <v>en-GB</v>
    <v>Map</v>
  </rv>
  <rv s="0">
    <v>536870912</v>
    <v>Finistère</v>
    <v>aab13240-a95c-948a-482c-51ffcf16db90</v>
    <v>en-GB</v>
    <v>Map</v>
  </rv>
  <rv s="0">
    <v>536870912</v>
    <v>Cher</v>
    <v>68e66cca-e778-a713-6053-2d9d229657f3</v>
    <v>en-GB</v>
    <v>Map</v>
  </rv>
  <rv s="0">
    <v>536870912</v>
    <v>Morbihan</v>
    <v>d60daed9-494d-85e7-d992-512a02eff123</v>
    <v>en-GB</v>
    <v>Map</v>
  </rv>
  <rv s="0">
    <v>536870912</v>
    <v>Doubs</v>
    <v>57dc7188-cb49-01c6-a78e-078be5045e3d</v>
    <v>en-GB</v>
    <v>Map</v>
  </rv>
  <rv s="0">
    <v>536870912</v>
    <v>Manche</v>
    <v>30cb17cd-689e-aa53-7d74-ad51a66d71d8</v>
    <v>en-GB</v>
    <v>Map</v>
  </rv>
  <rv s="0">
    <v>536870912</v>
    <v>Moselle</v>
    <v>7fc54835-e4c4-4cd9-af2a-bddfbd0c4e94</v>
    <v>en-GB</v>
    <v>Map</v>
  </rv>
  <rv s="0">
    <v>536870912</v>
    <v>Tarn-et-Garonne</v>
    <v>54324480-3892-3992-76d4-5e1c8f8e2ea3</v>
    <v>en-GB</v>
    <v>Map</v>
  </rv>
  <rv s="0">
    <v>536870912</v>
    <v>Allier</v>
    <v>1106a57f-4262-a0a7-7bff-d7a1933e4000</v>
    <v>en-GB</v>
    <v>Map</v>
  </rv>
  <rv s="0">
    <v>536870912</v>
    <v>Vaucluse</v>
    <v>a190e32c-8b86-e903-d3ae-ae3e5feccb71</v>
    <v>en-GB</v>
    <v>Map</v>
  </rv>
  <rv s="0">
    <v>536870912</v>
    <v>Ardennes</v>
    <v>2a95094e-9294-faa3-a8ab-8b2991b9e1a8</v>
    <v>en-GB</v>
    <v>Map</v>
  </rv>
  <rv s="0">
    <v>536870912</v>
    <v>Haute-Marne</v>
    <v>bcc5642c-f3a6-2f37-f938-154c57cf50cd</v>
    <v>en-GB</v>
    <v>Map</v>
  </rv>
  <rv s="0">
    <v>536870912</v>
    <v>Mayenne</v>
    <v>a2360257-339c-4162-b244-ce6258921bba</v>
    <v>en-GB</v>
    <v>Map</v>
  </rv>
  <rv s="0">
    <v>536870912</v>
    <v>Meuse</v>
    <v>4c4d9f68-e7be-4788-ae1c-689c307eb428</v>
    <v>en-GB</v>
    <v>Map</v>
  </rv>
  <rv s="0">
    <v>536870912</v>
    <v>Creuse</v>
    <v>dd371e57-c02d-2940-3824-8abcac3f5b16</v>
    <v>en-GB</v>
    <v>Map</v>
  </rv>
  <rv s="0">
    <v>536870912</v>
    <v>Lozère</v>
    <v>51cda30d-0957-cc60-f449-7cedac5c2f5d</v>
    <v>en-GB</v>
    <v>Map</v>
  </rv>
  <rv s="0">
    <v>536870912</v>
    <v>Territoire de Belfort</v>
    <v>c2174bec-fbf1-67a3-1cbf-0e07fb3c9d85</v>
    <v>en-GB</v>
    <v>Map</v>
  </rv>
  <rv s="0">
    <v>536870912</v>
    <v>Aisne</v>
    <v>f675d7ad-5638-71f6-272f-3013bf6d8b52</v>
    <v>en-GB</v>
    <v>Map</v>
  </rv>
  <rv s="0">
    <v>536870912</v>
    <v>Tarn</v>
    <v>83119498-14bb-1038-fdf0-bb1b17369b30</v>
    <v>en-GB</v>
    <v>Map</v>
  </rv>
  <rv s="0">
    <v>536870912</v>
    <v>Haute-Loire</v>
    <v>7d62611c-1129-1318-46a4-32493d6d49e6</v>
    <v>en-GB</v>
    <v>Map</v>
  </rv>
  <rv s="0">
    <v>536870912</v>
    <v>Haut-Rhin</v>
    <v>389dcf06-db1b-7fea-0231-4921fe772f1b</v>
    <v>en-GB</v>
    <v>Map</v>
  </rv>
  <rv s="0">
    <v>536870912</v>
    <v>Orne</v>
    <v>ef487664-1442-683b-96a6-483af8b24a73</v>
    <v>en-GB</v>
    <v>Map</v>
  </rv>
  <rv s="0">
    <v>536870912</v>
    <v>Haute-Corse</v>
    <v>7cc29b94-94ac-e3ea-e501-0b782e54084b</v>
    <v>en-GB</v>
    <v>Map</v>
  </rv>
  <rv s="0">
    <v>536870912</v>
    <v>Nièvre</v>
    <v>cd451fbc-d1c0-f9b6-4fea-0866a8f9c27c</v>
    <v>en-GB</v>
    <v>Map</v>
  </rv>
  <rv s="0">
    <v>536870912</v>
    <v>Grand Est</v>
    <v>e2f60e84-1701-6d84-e960-ba87138e3631</v>
    <v>en-GB</v>
    <v>Map</v>
  </rv>
  <rv s="0">
    <v>536870912</v>
    <v>Collectivity of Saint Martin</v>
    <v>281a8fb2-1b63-4320-5d31-8f0fb46c4f1a</v>
    <v>en-GB</v>
    <v>Map</v>
  </rv>
  <rv s="0">
    <v>536870912</v>
    <v>Auvergne-Rhône-Alpes</v>
    <v>b53940d0-b739-faf5-78d1-93f189f878c9</v>
    <v>en-GB</v>
    <v>Map</v>
  </rv>
  <rv s="0">
    <v>536870912</v>
    <v>Hauts-de-France</v>
    <v>4eb2d0b0-8845-48d0-9343-9ba3e7fe81a0</v>
    <v>en-GB</v>
    <v>Map</v>
  </rv>
  <rv s="0">
    <v>536870912</v>
    <v>Bourgogne-Franche-Comté</v>
    <v>4bc8dff1-8d72-5341-f405-63c7be8c6672</v>
    <v>en-GB</v>
    <v>Map</v>
  </rv>
  <rv s="0">
    <v>536870912</v>
    <v>French Southern and Antarctic Lands</v>
    <v>b9d52319-44ee-bf16-d95f-72397f26ce4a</v>
    <v>en-GB</v>
    <v>Map</v>
  </rv>
  <rv s="3">
    <v>38</v>
  </rv>
  <rv s="1">
    <fb>0.24229980509910898</fb>
    <v>33</v>
  </rv>
  <rv s="1">
    <fb>0.60699999999999998</fb>
    <v>33</v>
  </rv>
  <rv s="1">
    <fb>8.4270000457763714E-2</fb>
    <v>40</v>
  </rv>
  <rv s="1">
    <fb>54123364</fb>
    <v>8</v>
  </rv>
  <rv s="16">
    <v>#VALUE!</v>
    <v>en-GB</v>
    <v>c7bfe2de-4f82-e23c-ae42-8544b5b5c0ea</v>
    <v>536870912</v>
    <v>1</v>
    <v>135</v>
    <v>136</v>
    <v>France</v>
    <v>66</v>
    <v>67</v>
    <v>Map</v>
    <v>6</v>
    <v>137</v>
    <v>FR</v>
    <v>563</v>
    <v>564</v>
    <v>565</v>
    <v>566</v>
    <v>567</v>
    <v>554</v>
    <v>568</v>
    <v>569</v>
    <v>570</v>
    <v>EUR</v>
    <v>France, officially the French Republic, is a transcontinental country spanning Western Europe and overseas regions and territories in the Americas and the Atlantic, Pacific and Indian Oceans. Its metropolitan area extends from the Rhine to the Atlantic Ocean and from the Mediterranean Sea to the English Channel and the North Sea; overseas territories include French Guiana in South America, Saint Pierre and Miquelon in the North Atlantic, the French West Indies, and many islands in Oceania and the Indian Ocean. Due to its several coastal territories, France has the largest exclusive economic zone in the world. France borders Belgium, Luxembourg, Germany, Switzerland, Monaco, Italy, Andorra, and Spain in continental Europe, as well as the Netherlands, Suriname, and Brazil in the Americas via its overseas territories in French Guiana and Saint Martin. Its eighteen integral regions span a combined area of 643,801 km² and over 67 million people. France is a unitary semi-presidential republic with its capital in Paris, the country's largest city and main cultural and commercial centre; other major urban areas include Marseille, Lyon, Toulouse, Lille, Bordeaux, and Nice.</v>
    <v>571</v>
    <v>572</v>
    <v>573</v>
    <v>574</v>
    <v>508</v>
    <v>575</v>
    <v>576</v>
    <v>577</v>
    <v>578</v>
    <v>554</v>
    <v>585</v>
    <v>586</v>
    <v>587</v>
    <v>588</v>
    <v>120</v>
    <v>589</v>
    <v>France</v>
    <v>La Marseillaise</v>
    <v>590</v>
    <v>French Republic</v>
    <v>591</v>
    <v>592</v>
    <v>593</v>
    <v>594</v>
    <v>595</v>
    <v>596</v>
    <v>597</v>
    <v>598</v>
    <v>599</v>
    <v>600</v>
    <v>601</v>
    <v>715</v>
    <v>716</v>
    <v>549</v>
    <v>717</v>
    <v>718</v>
    <v>France</v>
    <v>719</v>
    <v>mdp/vdpid/84</v>
  </rv>
  <rv s="3">
    <v>39</v>
  </rv>
  <rv s="17">
    <v>9</v>
    <v>1</v>
  </rv>
  <rv s="3">
    <v>40</v>
  </rv>
  <rv s="18">
    <v>{2A7C1DE2-D38B-4235-8C6C-893B96DEA324}</v>
    <v>0</v>
    <v>138</v>
    <v>721</v>
    <v>723</v>
  </rv>
</rvData>
</file>

<file path=xl/richData/rdrichvaluestructure.xml><?xml version="1.0" encoding="utf-8"?>
<rvStructures xmlns="http://schemas.microsoft.com/office/spreadsheetml/2017/richdata" count="19">
  <s t="_linkedentity2">
    <k n="%EntityServiceId" t="i"/>
    <k n="_DisplayString" t="s"/>
    <k n="%EntityId" t="s"/>
    <k n="%EntityCulture" t="s"/>
    <k n="_Icon" t="s"/>
  </s>
  <s t="_formattednumber">
    <k n="_Format" t="spb"/>
  </s>
  <s t="_webimage">
    <k n="WebImageIdentifier" t="i"/>
    <k n="_Provider" t="spb"/>
    <k n="Attribution" t="spb"/>
    <k n="CalcOrigin" t="i"/>
    <k n="ComputedImage" t="b"/>
    <k n="Text" t="s"/>
  </s>
  <s t="_array">
    <k n="array" t="a"/>
  </s>
  <s t="_hyperlink">
    <k n="Address" t="s"/>
    <k n="Text"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Image" t="r"/>
    <k n="Latitude" t="r"/>
    <k n="Leader(s)" t="r"/>
    <k n="LearnMoreOnLink" t="r"/>
    <k n="Longitude" t="r"/>
    <k n="Name" t="s"/>
    <k n="Population" t="r"/>
    <k n="Time zone(s)" t="r"/>
    <k n="UniqueName" t="s"/>
    <k n="VDPID/VSID" t="s"/>
  </s>
  <s t="_error">
    <k n="errorType" t="i"/>
    <k n="subType" t="i"/>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atitude" t="r"/>
    <k n="Leader(s)" t="r"/>
    <k n="LearnMoreOnLink" t="r"/>
    <k n="Longitude"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dmin Division 2 (County/district/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mage"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Latitude" t="r"/>
    <k n="Leader(s)" t="r"/>
    <k n="LearnMoreOnLink" t="r"/>
    <k n="Longitude"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dmin Division 1 (State/province/other)" t="r"/>
    <k n="Area" t="r"/>
    <k n="Country/region" t="r"/>
    <k n="Description" t="s"/>
    <k n="Image" t="r"/>
    <k n="LearnMoreOnLink" t="r"/>
    <k n="Name" t="s"/>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rea" t="r"/>
    <k n="Country/region" t="r"/>
    <k n="Description" t="s"/>
    <k n="Households" t="r"/>
    <k n="Housing units" t="r"/>
    <k n="Leader(s)" t="r"/>
    <k n="LearnMoreOnLink" t="r"/>
    <k n="Name" t="s"/>
    <k n="Persons per household" t="r"/>
    <k n="Population" t="r"/>
    <k n="Time zone(s)" t="r"/>
    <k n="UniqueName" t="s"/>
    <k n="VDPID/VSID" t="s"/>
  </s>
  <s t="_linkedentity2core">
    <k n="_CRID" t="e"/>
    <k n="%EntityCulture" t="s"/>
    <k n="%EntityId" t="s"/>
    <k n="%EntityServiceId" t="i"/>
    <k n="%IsRefreshable" t="b"/>
    <k n="_Attribution" t="spb"/>
    <k n="_Display" t="spb"/>
    <k n="_DisplayString" t="s"/>
    <k n="_Flags" t="spb"/>
    <k n="_Format" t="spb"/>
    <k n="_Icon" t="s"/>
    <k n="_Provider" t="spb"/>
    <k n="_SubLabel" t="spb"/>
    <k n="Abbreviation" t="s"/>
    <k n="Agricultural land (%)" t="r"/>
    <k n="Area" t="r"/>
    <k n="Armed forces size" t="r"/>
    <k n="Birth rate" t="r"/>
    <k n="Calling code" t="r"/>
    <k n="Capital/Major City" t="r"/>
    <k n="Carbon dioxide emissions" t="r"/>
    <k n="CPI" t="r"/>
    <k n="CPI Change (%)" t="r"/>
    <k n="Currency code" t="s"/>
    <k n="Description" t="s"/>
    <k n="Electric power consumption" t="r"/>
    <k n="Fertility rate" t="r"/>
    <k n="Forested area (%)" t="r"/>
    <k n="Fossil fuel energy consumption" t="r"/>
    <k n="Gasoline price" t="r"/>
    <k n="GDP" t="r"/>
    <k n="Gross primary education enrollment (%)" t="r"/>
    <k n="Gross tertiary education enrollment (%)" t="r"/>
    <k n="Infant mortality" t="r"/>
    <k n="Largest city" t="r"/>
    <k n="Leader(s)" t="r"/>
    <k n="LearnMoreOnLink" t="r"/>
    <k n="Life expectancy" t="r"/>
    <k n="Market cap of listed companies" t="r"/>
    <k n="Maternal mortality ratio" t="r"/>
    <k n="Minimum wage" t="r"/>
    <k n="Name" t="s"/>
    <k n="National anthem" t="s"/>
    <k n="Official language" t="r"/>
    <k n="Official name" t="s"/>
    <k n="Out of pocket health expenditure (%)" t="r"/>
    <k n="Physicians per thousand" t="r"/>
    <k n="Population" t="r"/>
    <k n="Population: Income share fourth 20%" t="r"/>
    <k n="Population: Income share highest 10%" t="r"/>
    <k n="Population: Income share highest 20%" t="r"/>
    <k n="Population: Income share lowest 10%" t="r"/>
    <k n="Population: Income share lowest 20%" t="r"/>
    <k n="Population: Income share second 20%" t="r"/>
    <k n="Population: Income share third 20%" t="r"/>
    <k n="Population: Labor force participation (%)" t="r"/>
    <k n="Subdivisions" t="r"/>
    <k n="Tax revenue (%)" t="r"/>
    <k n="Time zone(s)" t="r"/>
    <k n="Total tax rate" t="r"/>
    <k n="Unemployment rate" t="r"/>
    <k n="UniqueName" t="s"/>
    <k n="Urban population" t="r"/>
    <k n="VDPID/VSID" t="s"/>
  </s>
  <s t="_error">
    <k n="errorType" t="i"/>
    <k n="propagated" t="b"/>
  </s>
  <s t="_datasourcecontainer">
    <k n="%XLUID" t="s"/>
    <k n="_CRID" t="i"/>
    <k n="_Display" t="spb"/>
    <k n="City" t="r"/>
    <k n="Country/region" t="r"/>
  </s>
</rvStructures>
</file>

<file path=xl/richData/rdsupportingpropertybag.xml><?xml version="1.0" encoding="utf-8"?>
<supportingPropertyBags xmlns="http://schemas.microsoft.com/office/spreadsheetml/2017/richdata2">
  <spbArrays count="12">
    <a count="27">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_Flags</v>
      <v t="s">VDPID/VSID</v>
      <v t="s">UniqueName</v>
      <v t="s">_DisplayString</v>
      <v t="s">LearnMoreOnLink</v>
      <v t="s">Image</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Calling code</v>
      <v t="s">_Flags</v>
      <v t="s">VDPID/VSID</v>
      <v t="s">UniqueName</v>
      <v t="s">_DisplayString</v>
      <v t="s">LearnMoreOnLink</v>
      <v t="s">Image</v>
      <v t="s">Description</v>
    </a>
    <a count="22">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Admin Division 2 (County/district/other)</v>
      <v t="s">Admin Division 1 (State/province/other)</v>
      <v t="s">Country/region</v>
      <v t="s">Leader(s)</v>
      <v t="s">_SubLabel</v>
      <v t="s">Population</v>
      <v t="s">Area</v>
      <v t="s">Latitude</v>
      <v t="s">Longitude</v>
      <v t="s">Time zone(s)</v>
      <v t="s">_Flags</v>
      <v t="s">VDPID/VSID</v>
      <v t="s">UniqueName</v>
      <v t="s">_DisplayString</v>
      <v t="s">LearnMoreOnLink</v>
      <v t="s">Description</v>
    </a>
    <a count="64">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Image</v>
      <v t="s">Description</v>
    </a>
    <a count="25">
      <v t="s">%EntityServiceId</v>
      <v t="s">%IsRefreshable</v>
      <v t="s">%EntityCulture</v>
      <v t="s">%EntityId</v>
      <v t="s">_Icon</v>
      <v t="s">_Provider</v>
      <v t="s">_Attribution</v>
      <v t="s">_Display</v>
      <v t="s">Name</v>
      <v t="s">_Format</v>
      <v t="s">Admin Division 1 (State/province/other)</v>
      <v t="s">Country/region</v>
      <v t="s">Leader(s)</v>
      <v t="s">_SubLabel</v>
      <v t="s">Population</v>
      <v t="s">Area</v>
      <v t="s">Latitude</v>
      <v t="s">Longitude</v>
      <v t="s">Time zone(s)</v>
      <v t="s">_Flags</v>
      <v t="s">VDPID/VSID</v>
      <v t="s">UniqueName</v>
      <v t="s">_DisplayString</v>
      <v t="s">LearnMoreOnLink</v>
      <v t="s">Description</v>
    </a>
    <a count="23">
      <v t="s">%EntityServiceId</v>
      <v t="s">%IsRefreshable</v>
      <v t="s">%EntityCulture</v>
      <v t="s">%EntityId</v>
      <v t="s">_Icon</v>
      <v t="s">_Provider</v>
      <v t="s">_Attribution</v>
      <v t="s">_Display</v>
      <v t="s">Name</v>
      <v t="s">_Format</v>
      <v t="s">Admin Division 1 (State/province/other)</v>
      <v t="s">Country/region</v>
      <v t="s">_SubLabel</v>
      <v t="s">Population</v>
      <v t="s">Area</v>
      <v t="s">_Flags</v>
      <v t="s">VDPID/VSID</v>
      <v t="s">UniqueName</v>
      <v t="s">_DisplayString</v>
      <v t="s">LearnMoreOnLink</v>
      <v t="s">Time zone(s)</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Time zone(s)</v>
      <v t="s">_Flags</v>
      <v t="s">VDPID/VSID</v>
      <v t="s">UniqueName</v>
      <v t="s">_DisplayString</v>
      <v t="s">LearnMoreOnLink</v>
      <v t="s">Description</v>
    </a>
    <a count="63">
      <v t="s">%EntityServiceId</v>
      <v t="s">%IsRefreshable</v>
      <v t="s">%EntityCulture</v>
      <v t="s">%EntityId</v>
      <v t="s">_Icon</v>
      <v t="s">_Provider</v>
      <v t="s">_Attribution</v>
      <v t="s">_Display</v>
      <v t="s">Name</v>
      <v t="s">_Format</v>
      <v t="s">Capital/Major City</v>
      <v t="s">Leader(s)</v>
      <v t="s">_SubLabel</v>
      <v t="s">Population</v>
      <v t="s">Area</v>
      <v t="s">Abbreviation</v>
      <v t="s">GDP</v>
      <v t="s">Currency code</v>
      <v t="s">Largest city</v>
      <v t="s">National anthem</v>
      <v t="s">Official language</v>
      <v t="s">Official name</v>
      <v t="s">Subdivisions</v>
      <v t="s">Life expectancy</v>
      <v t="s">Birth rate</v>
      <v t="s">Fertility rate</v>
      <v t="s">Infant mortality</v>
      <v t="s">Maternal mortality ratio</v>
      <v t="s">Urban population</v>
      <v t="s">Agricultural land (%)</v>
      <v t="s">Forested area (%)</v>
      <v t="s">Carbon dioxide emissions</v>
      <v t="s">Fossil fuel energy consumption</v>
      <v t="s">Gasoline price</v>
      <v t="s">Electric power consumption</v>
      <v t="s">CPI</v>
      <v t="s">CPI Change (%)</v>
      <v t="s">Population: Income share highest 10%</v>
      <v t="s">Population: Income share highest 20%</v>
      <v t="s">Population: Income share second 20%</v>
      <v t="s">Population: Income share third 20%</v>
      <v t="s">Population: Income share fourth 20%</v>
      <v t="s">Population: Income share lowest 20%</v>
      <v t="s">Population: Income share lowest 10%</v>
      <v t="s">Population: Labor force participation (%)</v>
      <v t="s">Minimum wage</v>
      <v t="s">Tax revenue (%)</v>
      <v t="s">Total tax rate</v>
      <v t="s">Unemployment rate</v>
      <v t="s">Market cap of listed companies</v>
      <v t="s">Gross primary education enrollment (%)</v>
      <v t="s">Gross tertiary education enrollment (%)</v>
      <v t="s">Out of pocket health expenditure (%)</v>
      <v t="s">Physicians per thousand</v>
      <v t="s">Armed forces size</v>
      <v t="s">Time zone(s)</v>
      <v t="s">Calling code</v>
      <v t="s">_Flags</v>
      <v t="s">VDPID/VSID</v>
      <v t="s">UniqueName</v>
      <v t="s">_DisplayString</v>
      <v t="s">LearnMoreOnLink</v>
      <v t="s">Description</v>
    </a>
    <a count="5">
      <v t="s">City</v>
      <v t="s">Country/region</v>
      <v t="s">_CRID</v>
      <v t="s">%XLUID</v>
      <v t="s">_Display</v>
    </a>
  </spbArrays>
  <spbData count="139">
    <spb s="0">
      <v xml:space="preserve">Wikipedia	</v>
      <v xml:space="preserve">CC BY-SA 3.0	</v>
      <v xml:space="preserve">https://en.wikipedia.org/wiki/London	</v>
      <v xml:space="preserve">https://creativecommons.org/licenses/by-sa/3.0	</v>
    </spb>
    <spb s="1">
      <v>0</v>
      <v>0</v>
      <v>0</v>
      <v>0</v>
      <v>0</v>
      <v>0</v>
      <v>0</v>
      <v>0</v>
      <v>0</v>
      <v>0</v>
    </spb>
    <spb s="2">
      <v>0</v>
      <v>Name</v>
      <v>LearnMoreOnLink</v>
    </spb>
    <spb s="3">
      <v>0</v>
      <v>0</v>
      <v>0</v>
    </spb>
    <spb s="4">
      <v>3</v>
      <v>3</v>
      <v>3</v>
    </spb>
    <spb s="5">
      <v>1</v>
      <v>2</v>
    </spb>
    <spb s="6">
      <v>https://www.bing.com</v>
      <v>https://www.bing.com/th?id=Ga%5Cbing_yt.png&amp;w=100&amp;h=40&amp;c=0&amp;pid=0.1</v>
      <v>Powered by Bing</v>
    </spb>
    <spb s="7">
      <v>square km</v>
      <v>2021</v>
    </spb>
    <spb s="8">
      <v>3</v>
    </spb>
    <spb s="8">
      <v>4</v>
    </spb>
    <spb s="0">
      <v xml:space="preserve">Wikipedia	</v>
      <v xml:space="preserve">CC BY-SA 3.0	</v>
      <v xml:space="preserve">https://en.wikipedia.org/wiki/Madrid	</v>
      <v xml:space="preserve">https://creativecommons.org/licenses/by-sa/3.0	</v>
    </spb>
    <spb s="9">
      <v>10</v>
      <v>10</v>
      <v>10</v>
      <v>10</v>
      <v>10</v>
      <v>10</v>
      <v>10</v>
      <v>10</v>
      <v>10</v>
    </spb>
    <spb s="2">
      <v>1</v>
      <v>Name</v>
      <v>LearnMoreOnLink</v>
    </spb>
    <spb s="7">
      <v>square km</v>
      <v>2022</v>
    </spb>
    <spb s="0">
      <v xml:space="preserve">data.worldbank.org	</v>
      <v xml:space="preserve">	</v>
      <v xml:space="preserve">http://data.worldbank.org/indicator/FP.CPI.TOTL	</v>
      <v xml:space="preserve">	</v>
    </spb>
    <spb s="0">
      <v xml:space="preserve">Wikipedia	Cia	Facebook	</v>
      <v xml:space="preserve">CC-BY-SA			</v>
      <v xml:space="preserve">http://en.wikipedia.org/wiki/Spain	https://www.cia.gov/library/publications/the-world-factbook/geos/sp.html?Transportation	https://www.facebook.com/spain.info.no	</v>
      <v xml:space="preserve">http://creativecommons.org/licenses/by-sa/3.0/			</v>
    </spb>
    <spb s="0">
      <v xml:space="preserve">Wikipedia	</v>
      <v xml:space="preserve">CC BY-SA 3.0	</v>
      <v xml:space="preserve">https://en.wikipedia.org/wiki/Spain	</v>
      <v xml:space="preserve">https://creativecommons.org/licenses/by-sa/3.0	</v>
    </spb>
    <spb s="0">
      <v xml:space="preserve">data.worldbank.org	</v>
      <v xml:space="preserve">	</v>
      <v xml:space="preserve">http://data.worldbank.org/indicator/SP.DYN.CBRT.IN	</v>
      <v xml:space="preserve">	</v>
    </spb>
    <spb s="0">
      <v xml:space="preserve">Wikipedia	</v>
      <v xml:space="preserve">CC-BY-SA	</v>
      <v xml:space="preserve">http://en.wikipedia.org/wiki/Spain	</v>
      <v xml:space="preserve">http://creativecommons.org/licenses/by-sa/3.0/	</v>
    </spb>
    <spb s="0">
      <v xml:space="preserve">Cia	</v>
      <v xml:space="preserve">	</v>
      <v xml:space="preserve">https://www.cia.gov/library/publications/the-world-factbook/geos/sp.html?Transportation	</v>
      <v xml:space="preserve">	</v>
    </spb>
    <spb s="0">
      <v xml:space="preserve">data.worldbank.org	</v>
      <v xml:space="preserve">	</v>
      <v xml:space="preserve">http://data.worldbank.org/indicator/SP.DYN.TFRT.IN	</v>
      <v xml:space="preserve">	</v>
    </spb>
    <spb s="0">
      <v xml:space="preserve">data.worldbank.org	</v>
      <v xml:space="preserve">	</v>
      <v xml:space="preserve">http://data.worldbank.org/indicator/SP.DYN.LE00.IN	</v>
      <v xml:space="preserve">	</v>
    </spb>
    <spb s="0">
      <v xml:space="preserve">data.worldbank.org	</v>
      <v xml:space="preserve">	</v>
      <v xml:space="preserve">http://data.worldbank.org/indicator/SP.DYN.IMRT.IN	</v>
      <v xml:space="preserve">	</v>
    </spb>
    <spb s="0">
      <v xml:space="preserve">data.worldbank.org	</v>
      <v xml:space="preserve">	</v>
      <v xml:space="preserve">http://data.worldbank.org/indicator/SP.URB.TOTL	</v>
      <v xml:space="preserve">	</v>
    </spb>
    <spb s="0">
      <v xml:space="preserve">data.worldbank.org	</v>
      <v xml:space="preserve">	</v>
      <v xml:space="preserve">http://data.worldbank.org/indicator/MS.MIL.TOTL.P1	</v>
      <v xml:space="preserve">	</v>
    </spb>
    <spb s="0">
      <v xml:space="preserve">data.worldbank.org	</v>
      <v xml:space="preserve">	</v>
      <v xml:space="preserve">http://data.worldbank.org/indicator/SH.MED.PHYS.ZS	</v>
      <v xml:space="preserve">	</v>
    </spb>
    <spb s="0">
      <v xml:space="preserve">data.worldbank.org	</v>
      <v xml:space="preserve">	</v>
      <v xml:space="preserve">http://data.worldbank.org/indicator/EN.ATM.CO2E.KT	</v>
      <v xml:space="preserve">	</v>
    </spb>
    <spb s="0">
      <v xml:space="preserve">data.worldbank.org	</v>
      <v xml:space="preserve">	</v>
      <v xml:space="preserve">http://data.worldbank.org/indicator/SH.STA.MMRT	</v>
      <v xml:space="preserve">	</v>
    </spb>
    <spb s="0">
      <v xml:space="preserve">data.worldbank.org	</v>
      <v xml:space="preserve">	</v>
      <v xml:space="preserve">http://data.worldbank.org/indicator/EG.USE.ELEC.KH.PC	</v>
      <v xml:space="preserve">	</v>
    </spb>
    <spb s="0">
      <v xml:space="preserve">data.worldbank.org	</v>
      <v xml:space="preserve">	</v>
      <v xml:space="preserve">http://data.worldbank.org/indicator/SL.TLF.CACT.ZS	</v>
      <v xml:space="preserve">	</v>
    </spb>
    <spb s="10">
      <v>14</v>
      <v>15</v>
      <v>16</v>
      <v>16</v>
      <v>17</v>
      <v>16</v>
      <v>16</v>
      <v>16</v>
      <v>18</v>
      <v>16</v>
      <v>16</v>
      <v>18</v>
      <v>16</v>
      <v>16</v>
      <v>19</v>
      <v>20</v>
      <v>15</v>
      <v>19</v>
      <v>21</v>
      <v>16</v>
      <v>19</v>
      <v>22</v>
      <v>23</v>
      <v>24</v>
      <v>19</v>
      <v>19</v>
      <v>16</v>
      <v>19</v>
      <v>25</v>
      <v>26</v>
      <v>27</v>
      <v>28</v>
      <v>19</v>
      <v>15</v>
      <v>19</v>
      <v>19</v>
      <v>19</v>
      <v>19</v>
      <v>19</v>
      <v>19</v>
      <v>19</v>
      <v>19</v>
      <v>19</v>
      <v>19</v>
      <v>29</v>
    </spb>
    <spb s="2">
      <v>2</v>
      <v>Name</v>
      <v>LearnMoreOnLink</v>
    </spb>
    <spb s="11">
      <v>2019</v>
      <v>2019</v>
      <v>square km</v>
      <v>per thousand (2018)</v>
      <v>2022</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8">
      <v>5</v>
    </spb>
    <spb s="8">
      <v>6</v>
    </spb>
    <spb s="8">
      <v>7</v>
    </spb>
    <spb s="8">
      <v>8</v>
    </spb>
    <spb s="8">
      <v>9</v>
    </spb>
    <spb s="8">
      <v>10</v>
    </spb>
    <spb s="8">
      <v>11</v>
    </spb>
    <spb s="8">
      <v>12</v>
    </spb>
    <spb s="0">
      <v xml:space="preserve">Wikipedia	</v>
      <v xml:space="preserve">CC BY-SA 3.0	</v>
      <v xml:space="preserve">https://en.wikipedia.org/wiki/Lisbon	</v>
      <v xml:space="preserve">https://creativecommons.org/licenses/by-sa/3.0	</v>
    </spb>
    <spb s="12">
      <v>41</v>
      <v>41</v>
      <v>41</v>
      <v>41</v>
      <v>41</v>
      <v>41</v>
      <v>41</v>
    </spb>
    <spb s="2">
      <v>3</v>
      <v>Name</v>
      <v>LearnMoreOnLink</v>
    </spb>
    <spb s="0">
      <v xml:space="preserve">Wikipedia	Cia	travel.state.gov	</v>
      <v xml:space="preserve">CC-BY-SA			</v>
      <v xml:space="preserve">http://en.wikipedia.org/wiki/Portugal	https://www.cia.gov/library/publications/the-world-factbook/geos/po.html?Transportation	https://travel.state.gov/content/travel/en/international-travel/International-Travel-Country-Information-Pages/Portugal.html	</v>
      <v xml:space="preserve">http://creativecommons.org/licenses/by-sa/3.0/			</v>
    </spb>
    <spb s="0">
      <v xml:space="preserve">Wikipedia	</v>
      <v xml:space="preserve">CC BY-SA 3.0	</v>
      <v xml:space="preserve">https://en.wikipedia.org/wiki/Portugal	</v>
      <v xml:space="preserve">https://creativecommons.org/licenses/by-sa/3.0	</v>
    </spb>
    <spb s="0">
      <v xml:space="preserve">Wikipedia	</v>
      <v xml:space="preserve">CC-BY-SA	</v>
      <v xml:space="preserve">http://en.wikipedia.org/wiki/Portugal	</v>
      <v xml:space="preserve">http://creativecommons.org/licenses/by-sa/3.0/	</v>
    </spb>
    <spb s="0">
      <v xml:space="preserve">Cia	</v>
      <v xml:space="preserve">	</v>
      <v xml:space="preserve">https://www.cia.gov/library/publications/the-world-factbook/geos/po.html?Transportation	</v>
      <v xml:space="preserve">	</v>
    </spb>
    <spb s="10">
      <v>14</v>
      <v>44</v>
      <v>45</v>
      <v>45</v>
      <v>17</v>
      <v>45</v>
      <v>45</v>
      <v>45</v>
      <v>46</v>
      <v>45</v>
      <v>45</v>
      <v>46</v>
      <v>45</v>
      <v>45</v>
      <v>47</v>
      <v>20</v>
      <v>44</v>
      <v>47</v>
      <v>21</v>
      <v>45</v>
      <v>47</v>
      <v>22</v>
      <v>23</v>
      <v>24</v>
      <v>47</v>
      <v>47</v>
      <v>45</v>
      <v>47</v>
      <v>25</v>
      <v>26</v>
      <v>27</v>
      <v>28</v>
      <v>47</v>
      <v>44</v>
      <v>47</v>
      <v>47</v>
      <v>47</v>
      <v>47</v>
      <v>47</v>
      <v>47</v>
      <v>47</v>
      <v>47</v>
      <v>47</v>
      <v>47</v>
      <v>29</v>
    </spb>
    <spb s="11">
      <v>2019</v>
      <v>2019</v>
      <v>square km</v>
      <v>per thousand (2018)</v>
      <v>2022</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v>
      <v xml:space="preserve">CC BY-SA 3.0	</v>
      <v xml:space="preserve">https://en.wikipedia.org/wiki/Berlin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http://en.wikipedia.org/wiki/Berlin	</v>
      <v xml:space="preserve">http://creativecommons.org/licenses/by-sa/3.0/	</v>
    </spb>
    <spb s="13">
      <v>50</v>
      <v>50</v>
      <v>51</v>
      <v>50</v>
      <v>50</v>
      <v>50</v>
      <v>52</v>
      <v>51</v>
      <v>50</v>
      <v>51</v>
    </spb>
    <spb s="2">
      <v>4</v>
      <v>Name</v>
      <v>LearnMoreOnLink</v>
    </spb>
    <spb s="14">
      <v>square km</v>
      <v>2011</v>
      <v>2022</v>
      <v>2011</v>
      <v>2011</v>
    </spb>
    <spb s="0">
      <v xml:space="preserve">Wikipedia	</v>
      <v xml:space="preserve">CC BY-SA 3.0	</v>
      <v xml:space="preserve">https://en.wikipedia.org/wiki/Paris	</v>
      <v xml:space="preserve">https://creativecommons.org/licenses/by-sa/3.0	</v>
    </spb>
    <spb s="9">
      <v>56</v>
      <v>56</v>
      <v>56</v>
      <v>56</v>
      <v>56</v>
      <v>56</v>
      <v>56</v>
      <v>56</v>
      <v>56</v>
    </spb>
    <spb s="7">
      <v>square km</v>
      <v>2020</v>
    </spb>
    <spb s="0">
      <v xml:space="preserve">Wikipedia	</v>
      <v xml:space="preserve">CC-BY-SA	</v>
      <v xml:space="preserve">http://en.wikipedia.org/wiki/London	</v>
      <v xml:space="preserve">http://creativecommons.org/licenses/by-sa/3.0/	</v>
    </spb>
    <spb s="0">
      <v xml:space="preserve">Wikipedia	Sec	</v>
      <v xml:space="preserve">CC-BY-SA		</v>
      <v xml:space="preserve">http://en.wikipedia.org/wiki/London	https://www.sec.gov/cgi-bin/browse-edgar?action=getcompany&amp;CIK=0001924953	</v>
      <v xml:space="preserve">http://creativecommons.org/licenses/by-sa/3.0/		</v>
    </spb>
    <spb s="0">
      <v xml:space="preserve">Wikipedia	Wikipedia	Sec	</v>
      <v xml:space="preserve">CC-BY-SA	CC-BY-SA		</v>
      <v xml:space="preserve">http://en.wikipedia.org/wiki/London	https://en.wikipedia.org/wiki/London	https://www.sec.gov/cgi-bin/browse-edgar?action=getcompany&amp;CIK=0001924953	</v>
      <v xml:space="preserve">http://creativecommons.org/licenses/by-sa/3.0/	http://creativecommons.org/licenses/by-sa/3.0/		</v>
    </spb>
    <spb s="0">
      <v xml:space="preserve">Wikipedia	Wikidata	Wikipedia	</v>
      <v xml:space="preserve">CC-BY-SA		CC-BY-SA	</v>
      <v xml:space="preserve">http://en.wikipedia.org/wiki/London	https://www.wikidata.org/wiki/Q84	https://en.wikipedia.org/wiki/London	</v>
      <v xml:space="preserve">http://creativecommons.org/licenses/by-sa/3.0/		http://creativecommons.org/licenses/by-sa/3.0/	</v>
    </spb>
    <spb s="15">
      <v>59</v>
      <v>60</v>
      <v>59</v>
      <v>60</v>
      <v>59</v>
      <v>61</v>
      <v>62</v>
      <v>59</v>
    </spb>
    <spb s="2">
      <v>5</v>
      <v>Name</v>
      <v>LearnMoreOnLink</v>
    </spb>
    <spb s="16">
      <v>0</v>
      <v>0</v>
    </spb>
    <spb s="17">
      <v>3</v>
      <v>3</v>
      <v>65</v>
      <v>3</v>
    </spb>
    <spb s="18">
      <v>1</v>
      <v>13</v>
    </spb>
    <spb s="0">
      <v xml:space="preserve">Wikipedia	Cia	travel.state.gov	</v>
      <v xml:space="preserve">CC-BY-SA			</v>
      <v xml:space="preserve">http://en.wikipedia.org/wiki/United_Kingdom	https://www.cia.gov/library/publications/the-world-factbook/geos/uk.html?Transportation	https://travel.state.gov/content/travel/en/international-travel/International-Travel-Country-Information-Pages/UnitedKingdom.html?wcmmode=disabled	</v>
      <v xml:space="preserve">http://creativecommons.org/licenses/by-sa/3.0/			</v>
    </spb>
    <spb s="0">
      <v xml:space="preserve">Cia	</v>
      <v xml:space="preserve">	</v>
      <v xml:space="preserve">https://www.cia.gov/library/publications/the-world-factbook/geos/uk.html?Transportation	</v>
      <v xml:space="preserve">	</v>
    </spb>
    <spb s="0">
      <v xml:space="preserve">Wikipedia	Cia	Wikipedia	travel.state.gov	ons.gov.uk	Sec	</v>
      <v xml:space="preserve">CC-BY-SA		CC-BY-SA				</v>
      <v xml:space="preserve">http://en.wikipedia.org/wiki/United_Kingdom	https://www.cia.gov/library/publications/the-world-factbook/geos/uk.html?Transportation	https://en.wikipedia.org/wiki/United_Kingdom	https://travel.state.gov/content/travel/en/international-travel/International-Travel-Country-Information-Pages/UnitedKingdom.html?wcmmode=disabled	https://www.ons.gov.uk/file?uri=/peoplepopulationandcommunity/populationandmigration/populationestimates/datasets/populationestimatesforukenglandandwalesscotlandandnorthernireland/mid2012tomid2016/ukmidyearestimates20122016.xls	https://www.sec.gov/cgi-bin/browse-edgar?action=getcompany&amp;CIK=0001924953	</v>
      <v xml:space="preserve">http://creativecommons.org/licenses/by-sa/3.0/		http://creativecommons.org/licenses/by-sa/3.0/				</v>
    </spb>
    <spb s="0">
      <v xml:space="preserve">data.worldbank.org	</v>
      <v xml:space="preserve">	</v>
      <v xml:space="preserve">http://data.worldbank.org/indicator/SP.POP.TOTL	</v>
      <v xml:space="preserve">	</v>
    </spb>
    <spb s="0">
      <v xml:space="preserve">Wikipedia	</v>
      <v xml:space="preserve">CC-BY-SA	</v>
      <v xml:space="preserve">http://en.wikipedia.org/wiki/United_Kingdom	</v>
      <v xml:space="preserve">http://creativecommons.org/licenses/by-sa/3.0/	</v>
    </spb>
    <spb s="0">
      <v xml:space="preserve">Wikipedia	Cia	</v>
      <v xml:space="preserve">CC-BY-SA		</v>
      <v xml:space="preserve">http://en.wikipedia.org/wiki/United_Kingdom	https://www.cia.gov/library/publications/the-world-factbook/geos/uk.html?Transportation	</v>
      <v xml:space="preserve">http://creativecommons.org/licenses/by-sa/3.0/		</v>
    </spb>
    <spb s="0">
      <v xml:space="preserve">Wikipedia	Wikipedia	Cia	travel.state.gov	Sec	</v>
      <v xml:space="preserve">CC-BY-SA	CC-BY-SA				</v>
      <v xml:space="preserve">http://en.wikipedia.org/wiki/United_Kingdom	http://fr.wikipedia.org/wiki/Royaume-Uni	https://www.cia.gov/library/publications/the-world-factbook/geos/uk.html?Transportation	https://travel.state.gov/content/travel/en/international-travel/International-Travel-Country-Information-Pages/UnitedKingdom.html?wcmmode=disabled	https://www.sec.gov/cgi-bin/browse-edgar?action=getcompany&amp;CIK=0001924953	</v>
      <v xml:space="preserve">http://creativecommons.org/licenses/by-sa/3.0/	http://creativecommons.org/licenses/by-sa/3.0/				</v>
    </spb>
    <spb s="0">
      <v xml:space="preserve">Wikipedia	Wikipedia	</v>
      <v xml:space="preserve">CC-BY-SA	CC-BY-SA	</v>
      <v xml:space="preserve">http://en.wikipedia.org/wiki/United_Kingdom	http://km.wikipedia.org/wiki/ចក្រភពអង់គ្លេស	</v>
      <v xml:space="preserve">http://creativecommons.org/licenses/by-sa/3.0/	http://creativecommons.org/licenses/by-sa/3.0/	</v>
    </spb>
    <spb s="19">
      <v>14</v>
      <v>68</v>
      <v>69</v>
      <v>70</v>
      <v>17</v>
      <v>71</v>
      <v>70</v>
      <v>72</v>
      <v>72</v>
      <v>73</v>
      <v>74</v>
      <v>72</v>
      <v>72</v>
      <v>69</v>
      <v>20</v>
      <v>68</v>
      <v>69</v>
      <v>21</v>
      <v>75</v>
      <v>69</v>
      <v>22</v>
      <v>23</v>
      <v>24</v>
      <v>69</v>
      <v>69</v>
      <v>74</v>
      <v>69</v>
      <v>25</v>
      <v>26</v>
      <v>27</v>
      <v>28</v>
      <v>69</v>
      <v>68</v>
      <v>69</v>
      <v>69</v>
      <v>69</v>
      <v>69</v>
      <v>69</v>
      <v>69</v>
      <v>69</v>
      <v>69</v>
      <v>69</v>
      <v>69</v>
      <v>29</v>
    </spb>
    <spb s="2">
      <v>6</v>
      <v>Name</v>
      <v>LearnMoreOnLink</v>
    </spb>
    <spb s="20">
      <v>1</v>
      <v>2</v>
      <v>13</v>
    </spb>
    <spb s="11">
      <v>2019</v>
      <v>2019</v>
      <v>square km</v>
      <v>per thousand (2018)</v>
      <v>2019</v>
      <v>2019</v>
      <v>2018</v>
      <v>per liter (2016)</v>
      <v>2019</v>
      <v>years (2018)</v>
      <v>2018</v>
      <v>per thousand (2018)</v>
      <v>2019</v>
      <v>2017</v>
      <v>2016</v>
      <v>2019</v>
      <v>2016</v>
      <v>2018</v>
      <v>kilotons per year (2016)</v>
      <v>deaths per 100,000 (2017)</v>
      <v>kWh (2014)</v>
      <v>2015</v>
      <v>2008</v>
      <v>2016</v>
      <v>2016</v>
      <v>2016</v>
      <v>2016</v>
      <v>2016</v>
      <v>2015</v>
      <v>2016</v>
      <v>2016</v>
      <v>2017</v>
      <v>2017</v>
      <v>2019</v>
    </spb>
    <spb s="0">
      <v xml:space="preserve">Wikipedia	</v>
      <v xml:space="preserve">Public domain	</v>
      <v xml:space="preserve">http://en.wikipedia.org/wiki/United_Kingdom	</v>
      <v xml:space="preserve">http://en.wikipedia.org/wiki/Public_domain	</v>
    </spb>
    <spb s="0">
      <v xml:space="preserve">Wikipedia	</v>
      <v xml:space="preserve">CC-BY-SA	</v>
      <v xml:space="preserve">http://en.wikipedia.org/wiki/Madrid	</v>
      <v xml:space="preserve">http://creativecommons.org/licenses/by-sa/3.0/	</v>
    </spb>
    <spb s="0">
      <v xml:space="preserve">Wikipedia	croctail.corpwatch.org	Sec	</v>
      <v xml:space="preserve">CC-BY-SA			</v>
      <v xml:space="preserve">http://en.wikipedia.org/wiki/Madrid	http://croctail.corpwatch.org/#cw_225280,cw_225280	https://www.sec.gov/cgi-bin/browse-edgar?action=getcompany&amp;CIK=0001908824	</v>
      <v xml:space="preserve">http://creativecommons.org/licenses/by-sa/3.0/			</v>
    </spb>
    <spb s="0">
      <v xml:space="preserve">Wikipedia	Wikipedia	Wikipedia	Sec	</v>
      <v xml:space="preserve">CC-BY-SA	CC-BY-SA	CC-BY-SA		</v>
      <v xml:space="preserve">http://en.wikipedia.org/wiki/Madrid	http://en.wikipedia.org/wiki/Culture_of_the_Community_of_Madrid	https://en.wikipedia.org/wiki/Madrid	https://www.sec.gov/cgi-bin/browse-edgar?action=getcompany&amp;CIK=0001908824	</v>
      <v xml:space="preserve">http://creativecommons.org/licenses/by-sa/3.0/	http://creativecommons.org/licenses/by-sa/3.0/	http://creativecommons.org/licenses/by-sa/3.0/		</v>
    </spb>
    <spb s="12">
      <v>81</v>
      <v>82</v>
      <v>81</v>
      <v>82</v>
      <v>81</v>
      <v>83</v>
      <v>81</v>
    </spb>
    <spb s="2">
      <v>7</v>
      <v>Name</v>
      <v>LearnMoreOnLink</v>
    </spb>
    <spb s="7">
      <v>square km</v>
      <v>2012</v>
    </spb>
    <spb s="0">
      <v xml:space="preserve">Wikipedia	Wikipedia	Cia	Ine	Facebook	Sec	</v>
      <v xml:space="preserve">CC-BY-SA	CC-BY-SA					</v>
      <v xml:space="preserve">http://en.wikipedia.org/wiki/Spain	https://en.wikipedia.org/wiki/Spain	https://www.cia.gov/library/publications/the-world-factbook/geos/sp.html?Transportation	http://www.ine.es/jaxiT3/Tabla.htm?t=9681&amp;L=1	https://www.facebook.com/spain.info.no	https://www.sec.gov/cgi-bin/browse-edgar?action=getcompany&amp;CIK=0001921938	</v>
      <v xml:space="preserve">http://creativecommons.org/licenses/by-sa/3.0/	http://creativecommons.org/licenses/by-sa/3.0/					</v>
    </spb>
    <spb s="0">
      <v xml:space="preserve">Wikipedia	Cia	</v>
      <v xml:space="preserve">CC-BY-SA		</v>
      <v xml:space="preserve">http://en.wikipedia.org/wiki/Spain	https://www.cia.gov/library/publications/the-world-factbook/geos/sp.html?Transportation	</v>
      <v xml:space="preserve">http://creativecommons.org/licenses/by-sa/3.0/		</v>
    </spb>
    <spb s="0">
      <v xml:space="preserve">Wikipedia	Wikipedia	Cia	Facebook	Sec	</v>
      <v xml:space="preserve">CC-BY-SA	CC-BY-SA				</v>
      <v xml:space="preserve">http://en.wikipedia.org/wiki/Spain	http://fr.wikipedia.org/wiki/Espagne	https://www.cia.gov/library/publications/the-world-factbook/geos/sp.html?Transportation	https://www.facebook.com/spain.info.no	https://www.sec.gov/cgi-bin/browse-edgar?action=getcompany&amp;CIK=0001921938	</v>
      <v xml:space="preserve">http://creativecommons.org/licenses/by-sa/3.0/	http://creativecommons.org/licenses/by-sa/3.0/				</v>
    </spb>
    <spb s="19">
      <v>14</v>
      <v>15</v>
      <v>19</v>
      <v>87</v>
      <v>17</v>
      <v>71</v>
      <v>87</v>
      <v>18</v>
      <v>18</v>
      <v>88</v>
      <v>89</v>
      <v>18</v>
      <v>18</v>
      <v>19</v>
      <v>20</v>
      <v>15</v>
      <v>19</v>
      <v>21</v>
      <v>18</v>
      <v>19</v>
      <v>22</v>
      <v>23</v>
      <v>24</v>
      <v>19</v>
      <v>19</v>
      <v>89</v>
      <v>19</v>
      <v>25</v>
      <v>26</v>
      <v>27</v>
      <v>28</v>
      <v>19</v>
      <v>15</v>
      <v>19</v>
      <v>19</v>
      <v>19</v>
      <v>19</v>
      <v>19</v>
      <v>19</v>
      <v>19</v>
      <v>19</v>
      <v>19</v>
      <v>19</v>
      <v>29</v>
    </spb>
    <spb s="11">
      <v>2019</v>
      <v>2019</v>
      <v>square km</v>
      <v>per thousand (2018)</v>
      <v>2019</v>
      <v>2019</v>
      <v>2018</v>
      <v>per liter (2016)</v>
      <v>2019</v>
      <v>years (2018)</v>
      <v>2018</v>
      <v>per thousand (2018)</v>
      <v>2019</v>
      <v>2017</v>
      <v>2016</v>
      <v>2019</v>
      <v>2016</v>
      <v>2017</v>
      <v>kilotons per year (2016)</v>
      <v>deaths per 100,000 (2017)</v>
      <v>kWh (2014)</v>
      <v>2015</v>
      <v>2019</v>
      <v>2017</v>
      <v>2017</v>
      <v>2017</v>
      <v>2017</v>
      <v>2017</v>
      <v>2015</v>
      <v>2017</v>
      <v>2017</v>
      <v>2017</v>
      <v>2017</v>
      <v>2019</v>
    </spb>
    <spb s="0">
      <v xml:space="preserve">Wikipedia	</v>
      <v xml:space="preserve">CC0	</v>
      <v xml:space="preserve">http://it.wikipedia.org/wiki/Spagna	</v>
      <v xml:space="preserve">http://creativecommons.org/publicdomain/zero/1.0/deed.en	</v>
    </spb>
    <spb s="0">
      <v xml:space="preserve">Wikipedia	Wikipedia	</v>
      <v xml:space="preserve">CC-BY-SA	CC-BY-SA	</v>
      <v xml:space="preserve">http://en.wikipedia.org/wiki/Lisbon	http://fr.wikipedia.org/wiki/Lisbonne	</v>
      <v xml:space="preserve">http://creativecommons.org/licenses/by-sa/3.0/	http://creativecommons.org/licenses/by-sa/3.0/	</v>
    </spb>
    <spb s="0">
      <v xml:space="preserve">Wikipedia	</v>
      <v xml:space="preserve">CC-BY-SA	</v>
      <v xml:space="preserve">http://en.wikipedia.org/wiki/Lisbon	</v>
      <v xml:space="preserve">http://creativecommons.org/licenses/by-sa/3.0/	</v>
    </spb>
    <spb s="0">
      <v xml:space="preserve">Wikipedia	Wikipedia	</v>
      <v xml:space="preserve">CC-BY-SA	CC-BY-SA	</v>
      <v xml:space="preserve">http://en.wikipedia.org/wiki/Lisbon	https://en.wikipedia.org/wiki/Lisbon	</v>
      <v xml:space="preserve">http://creativecommons.org/licenses/by-sa/3.0/	http://creativecommons.org/licenses/by-sa/3.0/	</v>
    </spb>
    <spb s="0">
      <v xml:space="preserve">Wikipedia	Wikipedia	</v>
      <v xml:space="preserve">CC-BY-SA	CC-BY-SA	</v>
      <v xml:space="preserve">http://en.wikipedia.org/wiki/Lisbon	http://es.wikipedia.org/wiki/Lisboa	</v>
      <v xml:space="preserve">http://creativecommons.org/licenses/by-sa/3.0/	http://creativecommons.org/licenses/by-sa/3.0/	</v>
    </spb>
    <spb s="12">
      <v>93</v>
      <v>94</v>
      <v>94</v>
      <v>94</v>
      <v>94</v>
      <v>95</v>
      <v>96</v>
    </spb>
    <spb s="2">
      <v>8</v>
      <v>Name</v>
      <v>LearnMoreOnLink</v>
    </spb>
    <spb s="21">
      <v>3</v>
      <v>3</v>
      <v>65</v>
      <v>3</v>
      <v>3</v>
    </spb>
    <spb s="0">
      <v xml:space="preserve">Wikipedia	</v>
      <v xml:space="preserve">CC-BY-SA-3.0	</v>
      <v xml:space="preserve">http://de.wikipedia.org/wiki/Lissabon	</v>
      <v xml:space="preserve">http://creativecommons.org/licenses/by-sa/3.0/	</v>
    </spb>
    <spb s="0">
      <v xml:space="preserve">Wikipedia	Cia	Wikipedia	travel.state.gov	Sec	</v>
      <v xml:space="preserve">CC-BY-SA		CC-BY-SA			</v>
      <v xml:space="preserve">http://en.wikipedia.org/wiki/Portugal	https://www.cia.gov/library/publications/the-world-factbook/geos/po.html?Transportation	https://en.wikipedia.org/wiki/Portugal	https://travel.state.gov/content/travel/en/international-travel/International-Travel-Country-Information-Pages/Portugal.html	https://www.sec.gov/cgi-bin/browse-edgar?action=getcompany&amp;CIK=0001746278	</v>
      <v xml:space="preserve">http://creativecommons.org/licenses/by-sa/3.0/		http://creativecommons.org/licenses/by-sa/3.0/			</v>
    </spb>
    <spb s="0">
      <v xml:space="preserve">Wikipedia	Cia	</v>
      <v xml:space="preserve">CC-BY-SA		</v>
      <v xml:space="preserve">http://en.wikipedia.org/wiki/Portugal	https://www.cia.gov/library/publications/the-world-factbook/geos/po.html?Transportation	</v>
      <v xml:space="preserve">http://creativecommons.org/licenses/by-sa/3.0/		</v>
    </spb>
    <spb s="0">
      <v xml:space="preserve">Wikipedia	Wikipedia	Cia	travel.state.gov	</v>
      <v xml:space="preserve">CC-BY-SA	CC-BY-SA			</v>
      <v xml:space="preserve">http://en.wikipedia.org/wiki/Portugal	http://fr.wikipedia.org/wiki/Portugal	https://www.cia.gov/library/publications/the-world-factbook/geos/po.html?Transportation	https://travel.state.gov/content/travel/en/international-travel/International-Travel-Country-Information-Pages/Portugal.html	</v>
      <v xml:space="preserve">http://creativecommons.org/licenses/by-sa/3.0/	http://creativecommons.org/licenses/by-sa/3.0/			</v>
    </spb>
    <spb s="10">
      <v>14</v>
      <v>44</v>
      <v>46</v>
      <v>101</v>
      <v>17</v>
      <v>71</v>
      <v>101</v>
      <v>46</v>
      <v>46</v>
      <v>102</v>
      <v>103</v>
      <v>46</v>
      <v>46</v>
      <v>46</v>
      <v>47</v>
      <v>20</v>
      <v>44</v>
      <v>47</v>
      <v>21</v>
      <v>46</v>
      <v>47</v>
      <v>22</v>
      <v>23</v>
      <v>24</v>
      <v>47</v>
      <v>47</v>
      <v>103</v>
      <v>47</v>
      <v>25</v>
      <v>26</v>
      <v>27</v>
      <v>28</v>
      <v>47</v>
      <v>44</v>
      <v>47</v>
      <v>47</v>
      <v>47</v>
      <v>47</v>
      <v>47</v>
      <v>47</v>
      <v>47</v>
      <v>47</v>
      <v>47</v>
      <v>47</v>
      <v>29</v>
    </spb>
    <spb s="11">
      <v>2019</v>
      <v>2019</v>
      <v>square km</v>
      <v>per thousand (2018)</v>
      <v>2019</v>
      <v>2019</v>
      <v>2018</v>
      <v>per liter (2016)</v>
      <v>2019</v>
      <v>years (2018)</v>
      <v>2018</v>
      <v>per thousand (2018)</v>
      <v>2019</v>
      <v>2017</v>
      <v>2016</v>
      <v>2019</v>
      <v>2016</v>
      <v>2017</v>
      <v>kilotons per year (2016)</v>
      <v>deaths per 100,000 (2017)</v>
      <v>kWh (2014)</v>
      <v>2015</v>
      <v>2018</v>
      <v>2017</v>
      <v>2017</v>
      <v>2017</v>
      <v>2017</v>
      <v>2017</v>
      <v>2015</v>
      <v>2017</v>
      <v>2017</v>
      <v>2017</v>
      <v>2017</v>
      <v>2019</v>
    </spb>
    <spb s="0">
      <v xml:space="preserve">Wikipedia	</v>
      <v xml:space="preserve">Public domain	</v>
      <v xml:space="preserve">http://en.wikipedia.org/wiki/Portugal	</v>
      <v xml:space="preserve">http://en.wikipedia.org/wiki/Public_domain	</v>
    </spb>
    <spb s="0">
      <v xml:space="preserve">Wikipedia	Wikidata	ergebnisse.zensus2011.de	Sec	Weathertrends360	</v>
      <v xml:space="preserve">CC-BY-SA					</v>
      <v xml:space="preserve">http://en.wikipedia.org/wiki/Berlin	https://www.wikidata.org/wiki/Q64	https://ergebnisse.zensus2011.de/?locale=en#dynTable:statUnit=WOHNUNG;absRel=ANZAHL;ags=01,02,03,04,05,06,07,08,09,10,11,12,13,14,15,16;agsAxis=X;yAxis=ZAHLWOHNGN_HHG	https://www.sec.gov/cgi-bin/browse-edgar?action=getcompany&amp;CIK=0001869858	https://www.weathertrends360.com/	</v>
      <v xml:space="preserve">http://creativecommons.org/licenses/by-sa/3.0/					</v>
    </spb>
    <spb s="0">
      <v xml:space="preserve">Wikipedia	Wikipedia	ergebnisse.zensus2011.de	Sec	</v>
      <v xml:space="preserve">CC-BY-SA	CC-BY-SA			</v>
      <v xml:space="preserve">http://en.wikipedia.org/wiki/Berlin	https://en.wikipedia.org/wiki/Berlin	https://ergebnisse.zensus2011.de/?locale=en#dynTable:statUnit=WOHNUNG;absRel=ANZAHL;ags=01,02,03,04,05,06,07,08,09,10,11,12,13,14,15,16;agsAxis=X;yAxis=ZAHLWOHNGN_HHG	https://www.sec.gov/cgi-bin/browse-edgar?action=getcompany&amp;CIK=0001869858	</v>
      <v xml:space="preserve">http://creativecommons.org/licenses/by-sa/3.0/	http://creativecommons.org/licenses/by-sa/3.0/			</v>
    </spb>
    <spb s="13">
      <v>52</v>
      <v>107</v>
      <v>51</v>
      <v>52</v>
      <v>107</v>
      <v>52</v>
      <v>52</v>
      <v>51</v>
      <v>108</v>
      <v>51</v>
    </spb>
    <spb s="2">
      <v>9</v>
      <v>Name</v>
      <v>LearnMoreOnLink</v>
    </spb>
    <spb s="14">
      <v>square km</v>
      <v>2011</v>
      <v>2020</v>
      <v>2011</v>
      <v>2011</v>
    </spb>
    <spb s="0">
      <v xml:space="preserve">Wikipedia	Cia	travel.state.gov	</v>
      <v xml:space="preserve">CC-BY-SA			</v>
      <v xml:space="preserve">http://en.wikipedia.org/wiki/Germany	https://www.cia.gov/library/publications/the-world-factbook/geos/gm.html?Transportation	https://travel.state.gov/content/travel/en/international-travel/International-Travel-Country-Information-Pages/Germany.html	</v>
      <v xml:space="preserve">http://creativecommons.org/licenses/by-sa/3.0/			</v>
    </spb>
    <spb s="0">
      <v xml:space="preserve">Wikipedia	Cia	</v>
      <v xml:space="preserve">CC-BY-SA		</v>
      <v xml:space="preserve">http://en.wikipedia.org/wiki/Germany	https://www.cia.gov/library/publications/the-world-factbook/geos/gm.html?Transportation	</v>
      <v xml:space="preserve">http://creativecommons.org/licenses/by-sa/3.0/		</v>
    </spb>
    <spb s="0">
      <v xml:space="preserve">Wikipedia	Wikipedia	Cia	ec.europa.eu	travel.state.gov	Sec	</v>
      <v xml:space="preserve">CC-BY-SA	CC-BY-SA					</v>
      <v xml:space="preserve">http://en.wikipedia.org/wiki/Germany	https://en.wikipedia.org/wiki/Germany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Wikipedia	</v>
      <v xml:space="preserve">CC-BY-SA	</v>
      <v xml:space="preserve">http://en.wikipedia.org/wiki/Germany	</v>
      <v xml:space="preserve">http://creativecommons.org/licenses/by-sa/3.0/	</v>
    </spb>
    <spb s="0">
      <v xml:space="preserve">Wikipedia	Wikipedia	Wikidata	Cia	ec.europa.eu	travel.state.gov	Sec	</v>
      <v xml:space="preserve">CC-BY-SA	CC-BY-SA						</v>
      <v xml:space="preserve">http://en.wikipedia.org/wiki/Germany	http://fr.wikipedia.org/wiki/Allemagne	https://www.wikidata.org/wiki/Q183	https://www.cia.gov/library/publications/the-world-factbook/geos/gm.html?Transportation	https://ec.europa.eu/CensusHub2/query.do?step=selectHyperCube&amp;qhc=false	https://travel.state.gov/content/travel/en/international-travel/International-Travel-Country-Information-Pages/Germany.html	https://www.sec.gov/cgi-bin/browse-edgar?action=getcompany&amp;CIK=0001902682	</v>
      <v xml:space="preserve">http://creativecommons.org/licenses/by-sa/3.0/	http://creativecommons.org/licenses/by-sa/3.0/						</v>
    </spb>
    <spb s="0">
      <v xml:space="preserve">travel.state.gov	</v>
      <v xml:space="preserve">	</v>
      <v xml:space="preserve">https://travel.state.gov/content/travel/en/international-travel/International-Travel-Country-Information-Pages/Germany.html	</v>
      <v xml:space="preserve">	</v>
    </spb>
    <spb s="0">
      <v xml:space="preserve">Cia	</v>
      <v xml:space="preserve">	</v>
      <v xml:space="preserve">https://www.cia.gov/library/publications/the-world-factbook/geos/gm.html?Transportation	</v>
      <v xml:space="preserve">	</v>
    </spb>
    <spb s="10">
      <v>14</v>
      <v>112</v>
      <v>113</v>
      <v>114</v>
      <v>17</v>
      <v>71</v>
      <v>114</v>
      <v>115</v>
      <v>115</v>
      <v>113</v>
      <v>116</v>
      <v>115</v>
      <v>115</v>
      <v>117</v>
      <v>118</v>
      <v>20</v>
      <v>112</v>
      <v>118</v>
      <v>21</v>
      <v>115</v>
      <v>118</v>
      <v>22</v>
      <v>23</v>
      <v>24</v>
      <v>118</v>
      <v>118</v>
      <v>116</v>
      <v>118</v>
      <v>25</v>
      <v>26</v>
      <v>27</v>
      <v>28</v>
      <v>118</v>
      <v>112</v>
      <v>118</v>
      <v>118</v>
      <v>118</v>
      <v>118</v>
      <v>118</v>
      <v>118</v>
      <v>118</v>
      <v>118</v>
      <v>118</v>
      <v>118</v>
      <v>29</v>
    </spb>
    <spb s="11">
      <v>2019</v>
      <v>2019</v>
      <v>square km</v>
      <v>per thousand (2018)</v>
      <v>2019</v>
      <v>2019</v>
      <v>2018</v>
      <v>per liter (2016)</v>
      <v>2019</v>
      <v>years (2018)</v>
      <v>2018</v>
      <v>per thousand (2018)</v>
      <v>2019</v>
      <v>2017</v>
      <v>2016</v>
      <v>2019</v>
      <v>2016</v>
      <v>2017</v>
      <v>kilotons per year (2016)</v>
      <v>deaths per 100,000 (2017)</v>
      <v>kWh (2014)</v>
      <v>2015</v>
      <v>2019</v>
      <v>2016</v>
      <v>2016</v>
      <v>2016</v>
      <v>2016</v>
      <v>2016</v>
      <v>2015</v>
      <v>2016</v>
      <v>2016</v>
      <v>2017</v>
      <v>2017</v>
      <v>2019</v>
    </spb>
    <spb s="0">
      <v xml:space="preserve">Wikipedia	</v>
      <v xml:space="preserve">Public domain	</v>
      <v xml:space="preserve">http://en.wikipedia.org/wiki/Germany	</v>
      <v xml:space="preserve">http://en.wikipedia.org/wiki/Public_domain	</v>
    </spb>
    <spb s="0">
      <v xml:space="preserve">Wikipedia	Wikipedia	</v>
      <v xml:space="preserve">CC-BY-SA	CC-BY-SA	</v>
      <v xml:space="preserve">http://en.wikipedia.org/wiki/Paris	http://fr.wikipedia.org/wiki/Paris	</v>
      <v xml:space="preserve">http://creativecommons.org/licenses/by-sa/3.0/	http://creativecommons.org/licenses/by-sa/3.0/	</v>
    </spb>
    <spb s="0">
      <v xml:space="preserve">Wikipedia	Twitter	Sec	Weathertrends360	</v>
      <v xml:space="preserve">CC-BY-SA				</v>
      <v xml:space="preserve">http://en.wikipedia.org/wiki/Paris	https://twitter.com/Paris	https://www.sec.gov/cgi-bin/browse-edgar?action=getcompany&amp;CIK=0001929509	https://www.weathertrends360.com/	</v>
      <v xml:space="preserve">http://creativecommons.org/licenses/by-sa/3.0/				</v>
    </spb>
    <spb s="0">
      <v xml:space="preserve">Wikipedia	</v>
      <v xml:space="preserve">CC-BY-SA	</v>
      <v xml:space="preserve">http://en.wikipedia.org/wiki/Paris	</v>
      <v xml:space="preserve">http://creativecommons.org/licenses/by-sa/3.0/	</v>
    </spb>
    <spb s="0">
      <v xml:space="preserve">Wikipedia	Wikipedia	Sec	</v>
      <v xml:space="preserve">CC-BY-SA	CC-BY-SA		</v>
      <v xml:space="preserve">http://en.wikipedia.org/wiki/Paris	https://en.wikipedia.org/wiki/Paris	https://www.sec.gov/cgi-bin/browse-edgar?action=getcompany&amp;CIK=0001929509	</v>
      <v xml:space="preserve">http://creativecommons.org/licenses/by-sa/3.0/	http://creativecommons.org/licenses/by-sa/3.0/		</v>
    </spb>
    <spb s="0">
      <v xml:space="preserve">Wikipedia	Wikipedia	Wikipedia	Wikidata	Wikipedia	</v>
      <v xml:space="preserve">CC-BY-SA	CC-BY-SA	CC-BY-SA		CC-BY-SA	</v>
      <v xml:space="preserve">http://en.wikipedia.org/wiki/Paris	http://de.wikipedia.org/wiki/Paris	http://fr.wikipedia.org/wiki/Paris	https://www.wikidata.org/wiki/Q90	http://sco.wikipedia.org/wiki/Leet_o_sister_an_pairtner_ceeties_o_Paris	</v>
      <v xml:space="preserve">http://creativecommons.org/licenses/by-sa/3.0/	http://creativecommons.org/licenses/by-sa/3.0/	http://creativecommons.org/licenses/by-sa/3.0/		http://creativecommons.org/licenses/by-sa/3.0/	</v>
    </spb>
    <spb s="22">
      <v>122</v>
      <v>123</v>
      <v>123</v>
      <v>124</v>
      <v>125</v>
      <v>126</v>
    </spb>
    <spb s="7">
      <v>square km</v>
      <v>2015</v>
    </spb>
    <spb s="0">
      <v xml:space="preserve">Wikipedia	Cia	travel.state.gov	</v>
      <v xml:space="preserve">CC-BY-SA			</v>
      <v xml:space="preserve">http://en.wikipedia.org/wiki/France	https://www.cia.gov/library/publications/the-world-factbook/geos/fr.html?Transportation	https://travel.state.gov/content/travel/en/international-travel/International-Travel-Country-Information-Pages/Monaco.html	</v>
      <v xml:space="preserve">http://creativecommons.org/licenses/by-sa/3.0/			</v>
    </spb>
    <spb s="0">
      <v xml:space="preserve">Wikipedia	Cia	</v>
      <v xml:space="preserve">CC-BY-SA		</v>
      <v xml:space="preserve">http://en.wikipedia.org/wiki/France	https://www.cia.gov/library/publications/the-world-factbook/geos/fr.html?Transportation	</v>
      <v xml:space="preserve">http://creativecommons.org/licenses/by-sa/3.0/		</v>
    </spb>
    <spb s="0">
      <v xml:space="preserve">Wikipedia	Wikipedia	Cia	travel.state.gov	Sec	</v>
      <v xml:space="preserve">CC-BY-SA	CC-BY-SA				</v>
      <v xml:space="preserve">http://en.wikipedia.org/wiki/France	https://en.wikipedia.org/wiki/France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0">
      <v xml:space="preserve">Wikipedia	</v>
      <v xml:space="preserve">CC-BY-SA	</v>
      <v xml:space="preserve">http://en.wikipedia.org/wiki/France	</v>
      <v xml:space="preserve">http://creativecommons.org/licenses/by-sa/3.0/	</v>
    </spb>
    <spb s="0">
      <v xml:space="preserve">Wikipedia	Wikipedia	Cia	travel.state.gov	Sec	</v>
      <v xml:space="preserve">CC-BY-SA	CC-BY-SA				</v>
      <v xml:space="preserve">http://en.wikipedia.org/wiki/France	http://fr.wikipedia.org/wiki/France	https://www.cia.gov/library/publications/the-world-factbook/geos/fr.html?Transportation	https://travel.state.gov/content/travel/en/international-travel/International-Travel-Country-Information-Pages/Monaco.html	https://www.sec.gov/cgi-bin/browse-edgar?action=getcompany&amp;CIK=0001929509	</v>
      <v xml:space="preserve">http://creativecommons.org/licenses/by-sa/3.0/	http://creativecommons.org/licenses/by-sa/3.0/				</v>
    </spb>
    <spb s="0">
      <v xml:space="preserve">Cia	</v>
      <v xml:space="preserve">	</v>
      <v xml:space="preserve">https://www.cia.gov/library/publications/the-world-factbook/geos/fr.html?Transportation	</v>
      <v xml:space="preserve">	</v>
    </spb>
    <spb s="23">
      <v>14</v>
      <v>129</v>
      <v>130</v>
      <v>131</v>
      <v>17</v>
      <v>71</v>
      <v>131</v>
      <v>132</v>
      <v>132</v>
      <v>130</v>
      <v>133</v>
      <v>132</v>
      <v>134</v>
      <v>20</v>
      <v>129</v>
      <v>134</v>
      <v>21</v>
      <v>132</v>
      <v>134</v>
      <v>22</v>
      <v>23</v>
      <v>24</v>
      <v>134</v>
      <v>134</v>
      <v>133</v>
      <v>134</v>
      <v>25</v>
      <v>26</v>
      <v>27</v>
      <v>28</v>
      <v>134</v>
      <v>129</v>
      <v>134</v>
      <v>134</v>
      <v>134</v>
      <v>134</v>
      <v>134</v>
      <v>134</v>
      <v>134</v>
      <v>134</v>
      <v>134</v>
      <v>134</v>
      <v>29</v>
    </spb>
    <spb s="2">
      <v>10</v>
      <v>Name</v>
      <v>LearnMoreOnLink</v>
    </spb>
    <spb s="11">
      <v>2019</v>
      <v>2019</v>
      <v>square km</v>
      <v>per thousand (2018)</v>
      <v>2019</v>
      <v>2019</v>
      <v>2018</v>
      <v>per liter (2016)</v>
      <v>2019</v>
      <v>years (2018)</v>
      <v>2018</v>
      <v>per thousand (2018)</v>
      <v>2019</v>
      <v>2017</v>
      <v>2016</v>
      <v>2019</v>
      <v>2016</v>
      <v>2018</v>
      <v>kilotons per year (2014)</v>
      <v>deaths per 100,000 (2017)</v>
      <v>kWh (2014)</v>
      <v>2015</v>
      <v>2018</v>
      <v>2017</v>
      <v>2017</v>
      <v>2017</v>
      <v>2017</v>
      <v>2017</v>
      <v>2015</v>
      <v>2017</v>
      <v>2017</v>
      <v>2017</v>
      <v>2017</v>
      <v>2019</v>
    </spb>
    <spb s="24">
      <v>11</v>
    </spb>
  </spbData>
</supportingPropertyBags>
</file>

<file path=xl/richData/rdsupportingpropertybagstructure.xml><?xml version="1.0" encoding="utf-8"?>
<spbStructures xmlns="http://schemas.microsoft.com/office/spreadsheetml/2017/richdata2" count="25">
  <s>
    <k n="SourceText" t="s"/>
    <k n="LicenseText" t="s"/>
    <k n="SourceAddress" t="s"/>
    <k n="LicenseAddress" t="s"/>
  </s>
  <s>
    <k n="Area" t="spb"/>
    <k n="Name" t="spb"/>
    <k n="Latitude" t="spb"/>
    <k n="Longitude" t="spb"/>
    <k n="Population" t="spb"/>
    <k n="UniqueName" t="spb"/>
    <k n="Description" t="spb"/>
    <k n="Country/region" t="spb"/>
    <k n="Admin Division 1 (State/province/other)" t="spb"/>
    <k n="Admin Division 2 (County/district/other)"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Population" t="s"/>
  </s>
  <s>
    <k n="_Self" t="i"/>
  </s>
  <s>
    <k n="Area" t="spb"/>
    <k n="Name" t="spb"/>
    <k n="Latitude" t="spb"/>
    <k n="Longitude" t="spb"/>
    <k n="Population" t="spb"/>
    <k n="UniqueName" t="spb"/>
    <k n="Description" t="spb"/>
    <k n="Country/region" t="spb"/>
    <k n="Admin Division 1 (State/province/other)" t="spb"/>
  </s>
  <s>
    <k n="CPI" t="spb"/>
    <k n="GDP" t="spb"/>
    <k n="Area" t="spb"/>
    <k n="Name" t="spb"/>
    <k n="Birth rate" t="spb"/>
    <k n="Population" t="spb"/>
    <k n="UniqueName" t="spb"/>
    <k n="Description" t="spb"/>
    <k n="Abbreviation" t="spb"/>
    <k n="Calling code" t="spb"/>
    <k n="Largest city" t="spb"/>
    <k n="Minimum wage" t="spb"/>
    <k n="Currency code" t="spb"/>
    <k n="Official nam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CPI" t="s"/>
    <k n="GDP" t="s"/>
    <k n="Area" t="s"/>
    <k n="Birth rate" t="s"/>
    <k n="Population" t="s"/>
    <k n="CPI Change (%)" t="s"/>
    <k n="Fertility rate" t="s"/>
    <k n="Gasoline price" t="s"/>
    <k n="Total tax rate" t="s"/>
    <k n="Life expectancy" t="s"/>
    <k n="Tax revenue (%)" t="s"/>
    <k n="Infant mortality" t="s"/>
    <k n="Urban population" t="s"/>
    <k n="Armed forces size" t="s"/>
    <k n="Forested area (%)" t="s"/>
    <k n="Unemployment rate" t="s"/>
    <k n="Agricultural land (%)" t="s"/>
    <k n="Physicians per thousand" t="s"/>
    <k n="Carbon dioxide emissions" t="s"/>
    <k n="Maternal mortality ratio" t="s"/>
    <k n="Electric power consumption" t="s"/>
    <k n="Fossil fuel energy consumption" t="s"/>
    <k n="Market cap of listed companies" t="s"/>
    <k n="Population: Income share third 20%" t="s"/>
    <k n="Population: Income share fourth 20%" t="s"/>
    <k n="Population: Income share lowest 10%" t="s"/>
    <k n="Population: Income share lowest 20%" t="s"/>
    <k n="Population: Income share second 20%" t="s"/>
    <k n="Out of pocket health expenditure (%)" t="s"/>
    <k n="Population: Income share highest 10%" t="s"/>
    <k n="Population: Income share highest 20%" t="s"/>
    <k n="Gross primary education enrollment (%)" t="s"/>
    <k n="Gross tertiary education enrollment (%)" t="s"/>
    <k n="Population: Labor force participation (%)" t="s"/>
  </s>
  <s>
    <k n="Area" t="spb"/>
    <k n="Name" t="spb"/>
    <k n="Population" t="spb"/>
    <k n="UniqueName" t="spb"/>
    <k n="Description" t="spb"/>
    <k n="Country/region" t="spb"/>
    <k n="Admin Division 1 (State/province/other)" t="spb"/>
  </s>
  <s>
    <k n="Area" t="spb"/>
    <k n="Name" t="spb"/>
    <k n="Households" t="spb"/>
    <k n="Population" t="spb"/>
    <k n="UniqueName" t="spb"/>
    <k n="Description" t="spb"/>
    <k n="Abbreviation" t="spb"/>
    <k n="Housing units" t="spb"/>
    <k n="Country/region" t="spb"/>
    <k n="Persons per household" t="spb"/>
  </s>
  <s>
    <k n="Area" t="s"/>
    <k n="Households" t="s"/>
    <k n="Population" t="s"/>
    <k n="Housing units" t="s"/>
    <k n="Persons per household" t="s"/>
  </s>
  <s>
    <k n="Area" t="spb"/>
    <k n="Name" t="spb"/>
    <k n="Population" t="spb"/>
    <k n="UniqueName" t="spb"/>
    <k n="Description" t="spb"/>
    <k n="Country/region" t="spb"/>
    <k n="Admin Division 1 (State/province/other)" t="spb"/>
    <k n="Admin Division 2 (County/district/other)" t="spb"/>
  </s>
  <s>
    <k n="ShowInDotNotation" t="b"/>
    <k n="ShowInAutoComplete" t="b"/>
  </s>
  <s>
    <k n="UniqueName" t="spb"/>
    <k n="VDPID/VSID" t="spb"/>
    <k n="Description" t="spb"/>
    <k n="LearnMoreOnLink" t="spb"/>
  </s>
  <s>
    <k n="Name" t="i"/>
    <k n="Description" t="i"/>
  </s>
  <s>
    <k n="CPI" t="spb"/>
    <k n="GDP" t="spb"/>
    <k n="Area" t="spb"/>
    <k n="Name" t="spb"/>
    <k n="Birth rate" t="spb"/>
    <k n="Population" t="spb"/>
    <k n="UniqueName" t="spb"/>
    <k n="Description" t="spb"/>
    <k n="Abbreviation" t="spb"/>
    <k n="Calling code" t="spb"/>
    <k n="Largest city" t="spb"/>
    <k n="Minimum wage" t="spb"/>
    <k n="Currency cod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Name" t="i"/>
    <k n="Image" t="i"/>
    <k n="Description" t="i"/>
  </s>
  <s>
    <k n="UniqueName" t="spb"/>
    <k n="VDPID/VSID" t="spb"/>
    <k n="Description" t="spb"/>
    <k n="Time zone(s)" t="spb"/>
    <k n="LearnMoreOnLink" t="spb"/>
  </s>
  <s>
    <k n="Area" t="spb"/>
    <k n="Name" t="spb"/>
    <k n="UniqueName" t="spb"/>
    <k n="Description" t="spb"/>
    <k n="Country/region" t="spb"/>
    <k n="Admin Division 1 (State/province/other)" t="spb"/>
  </s>
  <s>
    <k n="CPI" t="spb"/>
    <k n="GDP" t="spb"/>
    <k n="Area" t="spb"/>
    <k n="Name" t="spb"/>
    <k n="Birth rate" t="spb"/>
    <k n="Population" t="spb"/>
    <k n="UniqueName" t="spb"/>
    <k n="Description" t="spb"/>
    <k n="Abbreviation" t="spb"/>
    <k n="Calling code" t="spb"/>
    <k n="Largest city" t="spb"/>
    <k n="Minimum wage" t="spb"/>
    <k n="CPI Change (%)" t="spb"/>
    <k n="Fertility rate" t="spb"/>
    <k n="Gasoline price" t="spb"/>
    <k n="Total tax rate" t="spb"/>
    <k n="Life expectancy" t="spb"/>
    <k n="National anthem" t="spb"/>
    <k n="Tax revenue (%)" t="spb"/>
    <k n="Infant mortality" t="spb"/>
    <k n="Urban population" t="spb"/>
    <k n="Armed forces size" t="spb"/>
    <k n="Forested area (%)" t="spb"/>
    <k n="Unemployment rate" t="spb"/>
    <k n="Capital/Major City" t="spb"/>
    <k n="Agricultural land (%)" t="spb"/>
    <k n="Physicians per thousand" t="spb"/>
    <k n="Carbon dioxide emissions" t="spb"/>
    <k n="Maternal mortality ratio" t="spb"/>
    <k n="Electric power consumption" t="spb"/>
    <k n="Fossil fuel energy consumption" t="spb"/>
    <k n="Market cap of listed companies" t="spb"/>
    <k n="Population: Income share third 20%" t="spb"/>
    <k n="Population: Income share fourth 20%" t="spb"/>
    <k n="Population: Income share lowest 10%" t="spb"/>
    <k n="Population: Income share lowest 20%" t="spb"/>
    <k n="Population: Income share second 20%" t="spb"/>
    <k n="Out of pocket health expenditure (%)" t="spb"/>
    <k n="Population: Income share highest 10%" t="spb"/>
    <k n="Population: Income share highest 20%" t="spb"/>
    <k n="Gross primary education enrollment (%)" t="spb"/>
    <k n="Gross tertiary education enrollment (%)" t="spb"/>
    <k n="Population: Labor force participation (%)" t="spb"/>
  </s>
  <s>
    <k n="^Order" t="spba"/>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6">
    <x:dxf>
      <x:numFmt numFmtId="14" formatCode="0.00%"/>
    </x:dxf>
    <x:dxf>
      <x:numFmt numFmtId="3" formatCode="#,##0"/>
    </x:dxf>
    <x:dxf>
      <x:numFmt numFmtId="2" formatCode="0.00"/>
    </x:dxf>
    <x:dxf>
      <x:numFmt numFmtId="1" formatCode="0"/>
    </x:dxf>
    <x:dxf>
      <x:numFmt numFmtId="4" formatCode="#,##0.00"/>
    </x:dxf>
    <x:dxf>
      <x:numFmt numFmtId="0" formatCode="General"/>
    </x:dxf>
  </dxfs>
  <richProperties>
    <rPr n="IsTitleField" t="b"/>
    <rPr n="IsHeroField" t="b"/>
    <rPr n="NumberFormat" t="s"/>
    <rPr n="RequiresInlineAttribution" t="b"/>
  </richProperties>
  <richStyles>
    <rSty>
      <rpv i="0">1</rpv>
    </rSty>
    <rSty>
      <rpv i="1">1</rpv>
    </rSty>
    <rSty dxfid="1">
      <rpv i="2">#,##0</rpv>
    </rSty>
    <rSty dxfid="5">
      <rpv i="2">0.0000</rpv>
    </rSty>
    <rSty dxfid="0">
      <rpv i="2">0.0%</rpv>
    </rSty>
    <rSty dxfid="2">
      <rpv i="2">0.00</rpv>
    </rSty>
    <rSty dxfid="3">
      <rpv i="2">0</rpv>
    </rSty>
    <rSty dxfid="4">
      <rpv i="2">#,##0.00</rpv>
    </rSty>
    <rSty dxfid="5">
      <rpv i="2">0.0</rpv>
    </rSty>
    <rSty dxfid="5">
      <rpv i="2">_([$$-en-US]* #,##0.00_);_([$$-en-US]* (#,##0.00);_([$$-en-US]* "-"??_);_(@_)</rpv>
    </rSty>
    <rSty dxfid="5">
      <rpv i="2">_([$$-en-US]* #,##0_);_([$$-en-US]* (#,##0);_([$$-en-US]* "-"_);_(@_)</rpv>
    </rSty>
    <rSty dxfid="0"/>
    <rSty>
      <rpv i="3">1</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255BB1-250B-448F-B9E3-D3E7F720AAAA}" name="Table2" displayName="Table2" ref="B2:L259" totalsRowShown="0" headerRowDxfId="8">
  <autoFilter ref="B2:L259" xr:uid="{28255BB1-250B-448F-B9E3-D3E7F720AAAA}"/>
  <tableColumns count="11">
    <tableColumn id="1" xr3:uid="{3E9885B2-2237-40CF-98F9-01CD4353759D}" name="Order ID" dataDxfId="7"/>
    <tableColumn id="2" xr3:uid="{EDCD0F6F-D566-48F0-A346-51A49EFA0E8E}" name="Date" dataDxfId="6"/>
    <tableColumn id="3" xr3:uid="{A803C417-A393-4357-900D-2BA62A515CB5}" name="Product"/>
    <tableColumn id="4" xr3:uid="{BF8D5D86-7EEA-4AE3-93BA-C80509F47BAD}" name="Price" dataDxfId="5"/>
    <tableColumn id="6" xr3:uid="{EF64F2E1-0937-4E7A-A8B0-DAD91E5CA0FF}" name="Purchase Type" dataDxfId="4"/>
    <tableColumn id="7" xr3:uid="{3C7655F4-4E9C-424F-BB17-3226ACB4767D}" name="Payment Method" dataDxfId="3"/>
    <tableColumn id="10" xr3:uid="{C896A3AA-0949-4E69-9C11-6512A89759BC}" name="Manager2" dataDxfId="2"/>
    <tableColumn id="11" xr3:uid="{2A7911CC-2AFB-4DDF-8F1E-AEA2BB5CAEC4}" name="Quantity" dataDxfId="1"/>
    <tableColumn id="9" xr3:uid="{A229AC57-ED18-4CA8-AA53-C182A71A0FDC}" name="City"/>
    <tableColumn id="12" xr3:uid="{FC09EEFC-A2C9-459E-9B16-2EC2302B2ED0}" name="Country/region">
      <calculatedColumnFormula array="1">_FV(Table2[[#This Row],[City]],"Country/region",TRUE)</calculatedColumnFormula>
    </tableColumn>
    <tableColumn id="13" xr3:uid="{2D8DB831-D882-4E6E-BF38-C8B9FA67AF3D}" name="Revenue" dataDxfId="0">
      <calculatedColumnFormula>Table2[[#This Row],[Quantity]]*Table2[[#This Row],[Price]]</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D828420-2A6D-014A-88B1-2BABA3BA0542}" name="Table1" displayName="Table1" ref="B2:M256" totalsRowShown="0" headerRowDxfId="15">
  <autoFilter ref="B2:M256" xr:uid="{CD828420-2A6D-014A-88B1-2BABA3BA0542}"/>
  <tableColumns count="12">
    <tableColumn id="1" xr3:uid="{10C0F244-483F-4A49-B3E1-49B616F196C1}" name="Order ID" dataDxfId="14"/>
    <tableColumn id="2" xr3:uid="{B235E101-74E6-5142-B134-5985F87CF2C6}" name="Date" dataDxfId="13"/>
    <tableColumn id="3" xr3:uid="{088D2698-CC16-384A-AC92-4BBA913E871B}" name="Product"/>
    <tableColumn id="4" xr3:uid="{774386CA-C236-0B40-B729-491CD51B3277}" name="Price" dataDxfId="12"/>
    <tableColumn id="5" xr3:uid="{50AC1BB4-99E7-AC4F-A7F9-302247587674}" name="Quantity" dataDxfId="11"/>
    <tableColumn id="6" xr3:uid="{428F1872-246B-6B47-9CB3-7AC4B776FA81}" name="Cost" dataDxfId="10"/>
    <tableColumn id="7" xr3:uid="{D3D9FF55-4E8A-6542-9CB4-C8C54AEAC563}" name="City"/>
    <tableColumn id="8" xr3:uid="{2CBC5079-34B9-BE47-87E8-44A931B18B57}" name="Country">
      <calculatedColumnFormula array="1">_FV(H3,"Country/region",TRUE)</calculatedColumnFormula>
    </tableColumn>
    <tableColumn id="9" xr3:uid="{9660DC45-78EF-1046-A073-2C01E2E950C1}" name="Purchase Type"/>
    <tableColumn id="10" xr3:uid="{FF607F00-D587-D04B-B4E5-9CAE98EBB849}" name="Payment Method"/>
    <tableColumn id="11" xr3:uid="{ECABAB34-21FD-774F-9BE7-4AB677F2F35E}" name="Manager"/>
    <tableColumn id="12" xr3:uid="{40E4C706-3A34-9640-9136-13AC17F916E2}" name="Revenue" dataDxfId="9">
      <calculatedColumnFormula>Table1[[#This Row],[Price]]*Table1[[#This Row],[Quantity]]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youtube.com/c/KenjiExplains/featured" TargetMode="External"/><Relationship Id="rId1" Type="http://schemas.openxmlformats.org/officeDocument/2006/relationships/hyperlink" Target="https://www.careerprinciples.com/courses/excel-for-business-finance?utm_source=YTDownloadFile&amp;utm_medium=excel-data-analysis-feb-24-2023&amp;utm_campaign=YTDownload"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1D2B9-3D73-46A7-96E6-F29408808EBC}">
  <dimension ref="B4:D19"/>
  <sheetViews>
    <sheetView showGridLines="0" zoomScale="70" zoomScaleNormal="70" workbookViewId="0">
      <selection activeCell="C11" sqref="C11"/>
    </sheetView>
  </sheetViews>
  <sheetFormatPr defaultColWidth="9.5" defaultRowHeight="14.4" x14ac:dyDescent="0.3"/>
  <cols>
    <col min="1" max="1" width="9.5" style="23"/>
    <col min="2" max="2" width="7.296875" style="23" customWidth="1"/>
    <col min="3" max="3" width="96.69921875" style="23" bestFit="1" customWidth="1"/>
    <col min="4" max="4" width="8.19921875" style="23" customWidth="1"/>
    <col min="5" max="16384" width="9.5" style="23"/>
  </cols>
  <sheetData>
    <row r="4" spans="2:4" ht="54" x14ac:dyDescent="0.3">
      <c r="B4" s="20"/>
      <c r="C4" s="21" t="s">
        <v>41</v>
      </c>
      <c r="D4" s="22"/>
    </row>
    <row r="5" spans="2:4" ht="63.6" x14ac:dyDescent="0.3">
      <c r="B5" s="24"/>
      <c r="C5" s="25"/>
      <c r="D5" s="26"/>
    </row>
    <row r="6" spans="2:4" x14ac:dyDescent="0.3">
      <c r="B6" s="24"/>
      <c r="C6" s="27"/>
      <c r="D6" s="26"/>
    </row>
    <row r="7" spans="2:4" x14ac:dyDescent="0.3">
      <c r="B7" s="24"/>
      <c r="C7" s="27"/>
      <c r="D7" s="26"/>
    </row>
    <row r="8" spans="2:4" x14ac:dyDescent="0.3">
      <c r="B8" s="24"/>
      <c r="C8" s="27"/>
      <c r="D8" s="26"/>
    </row>
    <row r="9" spans="2:4" s="31" customFormat="1" ht="21" x14ac:dyDescent="0.4">
      <c r="B9" s="28"/>
      <c r="C9" s="29" t="s">
        <v>35</v>
      </c>
      <c r="D9" s="30"/>
    </row>
    <row r="10" spans="2:4" s="31" customFormat="1" ht="21" x14ac:dyDescent="0.4">
      <c r="B10" s="28"/>
      <c r="C10" s="32"/>
      <c r="D10" s="30"/>
    </row>
    <row r="11" spans="2:4" s="36" customFormat="1" ht="23.55" customHeight="1" x14ac:dyDescent="0.3">
      <c r="B11" s="33"/>
      <c r="C11" s="34" t="s">
        <v>36</v>
      </c>
      <c r="D11" s="35"/>
    </row>
    <row r="12" spans="2:4" x14ac:dyDescent="0.3">
      <c r="B12" s="24"/>
      <c r="C12" s="27"/>
      <c r="D12" s="26"/>
    </row>
    <row r="13" spans="2:4" x14ac:dyDescent="0.3">
      <c r="B13" s="24"/>
      <c r="C13" s="27"/>
      <c r="D13" s="26"/>
    </row>
    <row r="14" spans="2:4" x14ac:dyDescent="0.3">
      <c r="B14" s="24"/>
      <c r="C14" s="27"/>
      <c r="D14" s="26"/>
    </row>
    <row r="15" spans="2:4" ht="18" x14ac:dyDescent="0.35">
      <c r="B15" s="24"/>
      <c r="C15" s="37" t="s">
        <v>37</v>
      </c>
      <c r="D15" s="26"/>
    </row>
    <row r="16" spans="2:4" x14ac:dyDescent="0.3">
      <c r="B16" s="24"/>
      <c r="C16" s="38" t="s">
        <v>38</v>
      </c>
      <c r="D16" s="26"/>
    </row>
    <row r="17" spans="2:4" x14ac:dyDescent="0.3">
      <c r="B17" s="24"/>
      <c r="C17" s="27" t="s">
        <v>39</v>
      </c>
      <c r="D17" s="26"/>
    </row>
    <row r="18" spans="2:4" ht="28.8" x14ac:dyDescent="0.3">
      <c r="B18" s="24"/>
      <c r="C18" s="39" t="s">
        <v>40</v>
      </c>
      <c r="D18" s="26"/>
    </row>
    <row r="19" spans="2:4" x14ac:dyDescent="0.3">
      <c r="B19" s="40"/>
      <c r="C19" s="41"/>
      <c r="D19" s="42"/>
    </row>
  </sheetData>
  <sheetProtection algorithmName="SHA-512" hashValue="yWGABtfjzepYSTo43D3A5hkYeTaT4kSbHoqp90WRJ8UW820Sv96pK/CKereKOyzlnBnJO2kMUfHxl00AOwoMcA==" saltValue="pwN6jvKyr+yDZWTzDbxFeQ==" spinCount="100000" sheet="1" objects="1" scenarios="1"/>
  <hyperlinks>
    <hyperlink ref="C11" r:id="rId1" xr:uid="{DE9F587C-7CCD-42C7-A0DC-85AB592617FA}"/>
    <hyperlink ref="C15" r:id="rId2" display="Made by Kenji Explains" xr:uid="{91CF7977-C5CF-41CC-81C4-13350A60E1BF}"/>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F77E48-6FD4-8644-A782-E6B1D9E27C39}">
  <dimension ref="B2:R259"/>
  <sheetViews>
    <sheetView workbookViewId="0">
      <selection activeCell="L4" sqref="L4"/>
    </sheetView>
  </sheetViews>
  <sheetFormatPr defaultColWidth="10.69921875" defaultRowHeight="15.6" x14ac:dyDescent="0.3"/>
  <cols>
    <col min="2" max="2" width="5.8984375" bestFit="1" customWidth="1"/>
    <col min="3" max="3" width="10.5" bestFit="1" customWidth="1"/>
    <col min="4" max="4" width="17.796875" bestFit="1" customWidth="1"/>
    <col min="5" max="5" width="5.8984375" bestFit="1" customWidth="1"/>
    <col min="6" max="6" width="9.8984375" bestFit="1" customWidth="1"/>
    <col min="7" max="7" width="10.8984375" bestFit="1" customWidth="1"/>
    <col min="8" max="8" width="12.59765625" bestFit="1" customWidth="1"/>
    <col min="9" max="9" width="3.8984375" bestFit="1" customWidth="1"/>
    <col min="10" max="10" width="9.296875" bestFit="1" customWidth="1"/>
  </cols>
  <sheetData>
    <row r="2" spans="2:18" ht="16.2" thickBot="1" x14ac:dyDescent="0.35">
      <c r="B2" s="1" t="s">
        <v>0</v>
      </c>
      <c r="C2" s="1" t="s">
        <v>1</v>
      </c>
      <c r="D2" s="1" t="s">
        <v>2</v>
      </c>
      <c r="E2" s="2" t="s">
        <v>3</v>
      </c>
      <c r="F2" s="1" t="s">
        <v>5</v>
      </c>
      <c r="G2" s="1" t="s">
        <v>6</v>
      </c>
      <c r="H2" s="1" t="s">
        <v>42</v>
      </c>
      <c r="I2" s="1" t="s">
        <v>4</v>
      </c>
      <c r="J2" s="1" t="s">
        <v>8</v>
      </c>
      <c r="K2" s="1" t="s">
        <v>43</v>
      </c>
      <c r="L2" s="1" t="s">
        <v>32</v>
      </c>
    </row>
    <row r="3" spans="2:18" x14ac:dyDescent="0.3">
      <c r="B3" s="3">
        <v>10452</v>
      </c>
      <c r="C3" s="4">
        <v>44872</v>
      </c>
      <c r="D3" t="s">
        <v>9</v>
      </c>
      <c r="E3" s="3">
        <v>3.49</v>
      </c>
      <c r="F3" s="3" t="s">
        <v>10</v>
      </c>
      <c r="G3" s="3" t="s">
        <v>11</v>
      </c>
      <c r="H3" t="s">
        <v>24</v>
      </c>
      <c r="I3">
        <v>574</v>
      </c>
      <c r="J3" t="e" vm="1">
        <v>#VALUE!</v>
      </c>
      <c r="K3" t="e" cm="1" vm="2">
        <f t="array" aca="1" ref="K3" ca="1">_FV(Table2[[#This Row],[City]],"Country/region",TRUE)</f>
        <v>#VALUE!</v>
      </c>
      <c r="L3">
        <f>Table2[[#This Row],[Quantity]]*Table2[[#This Row],[Price]]</f>
        <v>2003.2600000000002</v>
      </c>
      <c r="N3" s="46" t="s">
        <v>3</v>
      </c>
      <c r="O3" s="46"/>
      <c r="Q3" s="46" t="s">
        <v>4</v>
      </c>
      <c r="R3" s="46"/>
    </row>
    <row r="4" spans="2:18" x14ac:dyDescent="0.3">
      <c r="B4" s="3">
        <v>10453</v>
      </c>
      <c r="C4" s="4">
        <v>44872</v>
      </c>
      <c r="D4" t="s">
        <v>12</v>
      </c>
      <c r="E4" s="3">
        <v>2.95</v>
      </c>
      <c r="F4" s="3" t="s">
        <v>10</v>
      </c>
      <c r="G4" s="3" t="s">
        <v>11</v>
      </c>
      <c r="H4" t="s">
        <v>20</v>
      </c>
      <c r="I4">
        <v>746</v>
      </c>
      <c r="J4" t="e" vm="3">
        <v>#VALUE!</v>
      </c>
      <c r="K4" t="e" cm="1" vm="4">
        <f t="array" aca="1" ref="K4" ca="1">_FV(Table2[[#This Row],[City]],"Country/region",TRUE)</f>
        <v>#VALUE!</v>
      </c>
      <c r="L4">
        <f>Table2[[#This Row],[Quantity]]*Table2[[#This Row],[Price]]</f>
        <v>2200.7000000000003</v>
      </c>
      <c r="N4" s="44"/>
      <c r="O4" s="44"/>
      <c r="Q4" s="44"/>
      <c r="R4" s="44"/>
    </row>
    <row r="5" spans="2:18" x14ac:dyDescent="0.3">
      <c r="B5" s="3">
        <v>10454</v>
      </c>
      <c r="C5" s="4">
        <v>44872</v>
      </c>
      <c r="D5" t="s">
        <v>13</v>
      </c>
      <c r="E5" s="3">
        <v>4.99</v>
      </c>
      <c r="F5" s="3" t="s">
        <v>14</v>
      </c>
      <c r="G5" s="3" t="s">
        <v>11</v>
      </c>
      <c r="H5" t="s">
        <v>21</v>
      </c>
      <c r="I5">
        <v>201</v>
      </c>
      <c r="J5" t="e" vm="5">
        <v>#VALUE!</v>
      </c>
      <c r="K5" t="e" cm="1" vm="6">
        <f t="array" aca="1" ref="K5" ca="1">_FV(Table2[[#This Row],[City]],"Country/region",TRUE)</f>
        <v>#VALUE!</v>
      </c>
      <c r="L5">
        <f>Table2[[#This Row],[Quantity]]*Table2[[#This Row],[Price]]</f>
        <v>1002.99</v>
      </c>
      <c r="N5" s="44" t="s">
        <v>44</v>
      </c>
      <c r="O5" s="44">
        <v>7.3410116731517689</v>
      </c>
      <c r="Q5" s="44" t="s">
        <v>44</v>
      </c>
      <c r="R5" s="44">
        <v>461.24124513618676</v>
      </c>
    </row>
    <row r="6" spans="2:18" x14ac:dyDescent="0.3">
      <c r="B6" s="3">
        <v>10455</v>
      </c>
      <c r="C6" s="4">
        <v>44873</v>
      </c>
      <c r="D6" t="s">
        <v>15</v>
      </c>
      <c r="E6" s="3">
        <v>12.99</v>
      </c>
      <c r="F6" s="3" t="s">
        <v>14</v>
      </c>
      <c r="G6" s="3" t="s">
        <v>16</v>
      </c>
      <c r="H6" t="s">
        <v>17</v>
      </c>
      <c r="I6">
        <v>570</v>
      </c>
      <c r="J6" t="e" vm="7">
        <v>#VALUE!</v>
      </c>
      <c r="K6" t="e" cm="1" vm="2">
        <f t="array" aca="1" ref="K6" ca="1">_FV(Table2[[#This Row],[City]],"Country/region",TRUE)</f>
        <v>#VALUE!</v>
      </c>
      <c r="L6">
        <f>Table2[[#This Row],[Quantity]]*Table2[[#This Row],[Price]]</f>
        <v>7404.3</v>
      </c>
      <c r="N6" s="44" t="s">
        <v>45</v>
      </c>
      <c r="O6" s="44">
        <v>0.30396506095791431</v>
      </c>
      <c r="Q6" s="44" t="s">
        <v>45</v>
      </c>
      <c r="R6" s="44">
        <v>13.380974475434584</v>
      </c>
    </row>
    <row r="7" spans="2:18" x14ac:dyDescent="0.3">
      <c r="B7" s="3">
        <v>10456</v>
      </c>
      <c r="C7" s="4">
        <v>44873</v>
      </c>
      <c r="D7" t="s">
        <v>18</v>
      </c>
      <c r="E7" s="3">
        <v>9.9499999999999993</v>
      </c>
      <c r="F7" s="3" t="s">
        <v>14</v>
      </c>
      <c r="G7" s="3" t="s">
        <v>16</v>
      </c>
      <c r="H7" t="s">
        <v>17</v>
      </c>
      <c r="I7">
        <v>202</v>
      </c>
      <c r="J7" t="e" vm="7">
        <v>#VALUE!</v>
      </c>
      <c r="K7" t="e" cm="1" vm="2">
        <f t="array" aca="1" ref="K7" ca="1">_FV(Table2[[#This Row],[City]],"Country/region",TRUE)</f>
        <v>#VALUE!</v>
      </c>
      <c r="L7">
        <f>Table2[[#This Row],[Quantity]]*Table2[[#This Row],[Price]]</f>
        <v>2009.8999999999999</v>
      </c>
      <c r="N7" s="44" t="s">
        <v>46</v>
      </c>
      <c r="O7" s="44">
        <v>4.99</v>
      </c>
      <c r="Q7" s="44" t="s">
        <v>46</v>
      </c>
      <c r="R7" s="44">
        <v>539</v>
      </c>
    </row>
    <row r="8" spans="2:18" x14ac:dyDescent="0.3">
      <c r="B8" s="3">
        <v>10457</v>
      </c>
      <c r="C8" s="4">
        <v>44873</v>
      </c>
      <c r="D8" t="s">
        <v>9</v>
      </c>
      <c r="E8" s="3">
        <v>3.49</v>
      </c>
      <c r="F8" s="3" t="s">
        <v>14</v>
      </c>
      <c r="G8" s="3" t="s">
        <v>16</v>
      </c>
      <c r="H8" t="s">
        <v>19</v>
      </c>
      <c r="I8">
        <v>574</v>
      </c>
      <c r="J8" t="e" vm="8">
        <v>#VALUE!</v>
      </c>
      <c r="K8" t="e" cm="1" vm="2">
        <f t="array" aca="1" ref="K8" ca="1">_FV(Table2[[#This Row],[City]],"Country/region",TRUE)</f>
        <v>#VALUE!</v>
      </c>
      <c r="L8">
        <f>Table2[[#This Row],[Quantity]]*Table2[[#This Row],[Price]]</f>
        <v>2003.2600000000002</v>
      </c>
      <c r="N8" s="44" t="s">
        <v>47</v>
      </c>
      <c r="O8" s="44">
        <v>12.99</v>
      </c>
      <c r="Q8" s="44" t="s">
        <v>47</v>
      </c>
      <c r="R8" s="44">
        <v>201</v>
      </c>
    </row>
    <row r="9" spans="2:18" x14ac:dyDescent="0.3">
      <c r="B9" s="3">
        <v>10459</v>
      </c>
      <c r="C9" s="4">
        <v>44873</v>
      </c>
      <c r="D9" t="s">
        <v>13</v>
      </c>
      <c r="E9" s="3">
        <v>4.99</v>
      </c>
      <c r="F9" s="3" t="s">
        <v>14</v>
      </c>
      <c r="G9" s="3" t="s">
        <v>16</v>
      </c>
      <c r="H9" t="s">
        <v>17</v>
      </c>
      <c r="I9">
        <v>201</v>
      </c>
      <c r="J9" t="e" vm="7">
        <v>#VALUE!</v>
      </c>
      <c r="K9" t="e" cm="1" vm="2">
        <f t="array" aca="1" ref="K9" ca="1">_FV(Table2[[#This Row],[City]],"Country/region",TRUE)</f>
        <v>#VALUE!</v>
      </c>
      <c r="L9">
        <f>Table2[[#This Row],[Quantity]]*Table2[[#This Row],[Price]]</f>
        <v>1002.99</v>
      </c>
      <c r="N9" s="44" t="s">
        <v>48</v>
      </c>
      <c r="O9" s="44">
        <v>4.8729306252776867</v>
      </c>
      <c r="Q9" s="44" t="s">
        <v>48</v>
      </c>
      <c r="R9" s="44">
        <v>214.5133395000031</v>
      </c>
    </row>
    <row r="10" spans="2:18" x14ac:dyDescent="0.3">
      <c r="B10" s="3">
        <v>10460</v>
      </c>
      <c r="C10" s="4">
        <v>44874</v>
      </c>
      <c r="D10" t="s">
        <v>15</v>
      </c>
      <c r="E10" s="3">
        <v>12.99</v>
      </c>
      <c r="F10" s="3" t="s">
        <v>14</v>
      </c>
      <c r="G10" s="3" t="s">
        <v>16</v>
      </c>
      <c r="H10" t="s">
        <v>19</v>
      </c>
      <c r="I10">
        <v>555</v>
      </c>
      <c r="J10" t="e" vm="8">
        <v>#VALUE!</v>
      </c>
      <c r="K10" t="e" cm="1" vm="2">
        <f t="array" aca="1" ref="K10" ca="1">_FV(Table2[[#This Row],[City]],"Country/region",TRUE)</f>
        <v>#VALUE!</v>
      </c>
      <c r="L10">
        <f>Table2[[#This Row],[Quantity]]*Table2[[#This Row],[Price]]</f>
        <v>7209.45</v>
      </c>
      <c r="N10" s="44" t="s">
        <v>49</v>
      </c>
      <c r="O10" s="44">
        <v>23.745452878769186</v>
      </c>
      <c r="Q10" s="44" t="s">
        <v>49</v>
      </c>
      <c r="R10" s="44">
        <v>46015.97282344359</v>
      </c>
    </row>
    <row r="11" spans="2:18" x14ac:dyDescent="0.3">
      <c r="B11" s="3">
        <v>10461</v>
      </c>
      <c r="C11" s="4">
        <v>44874</v>
      </c>
      <c r="D11" t="s">
        <v>18</v>
      </c>
      <c r="E11" s="3">
        <v>9.9499999999999993</v>
      </c>
      <c r="F11" s="3" t="s">
        <v>14</v>
      </c>
      <c r="G11" s="3" t="s">
        <v>16</v>
      </c>
      <c r="H11" t="s">
        <v>19</v>
      </c>
      <c r="I11">
        <v>202</v>
      </c>
      <c r="J11" t="e" vm="8">
        <v>#VALUE!</v>
      </c>
      <c r="K11" t="e" cm="1" vm="2">
        <f t="array" aca="1" ref="K11" ca="1">_FV(Table2[[#This Row],[City]],"Country/region",TRUE)</f>
        <v>#VALUE!</v>
      </c>
      <c r="L11">
        <f>Table2[[#This Row],[Quantity]]*Table2[[#This Row],[Price]]</f>
        <v>2009.8999999999999</v>
      </c>
      <c r="N11" s="44" t="s">
        <v>50</v>
      </c>
      <c r="O11" s="44">
        <v>4.6742476071303694</v>
      </c>
      <c r="Q11" s="44" t="s">
        <v>50</v>
      </c>
      <c r="R11" s="44">
        <v>-1.7242037395630254</v>
      </c>
    </row>
    <row r="12" spans="2:18" x14ac:dyDescent="0.3">
      <c r="B12" s="3">
        <v>10462</v>
      </c>
      <c r="C12" s="4">
        <v>44874</v>
      </c>
      <c r="D12" t="s">
        <v>9</v>
      </c>
      <c r="E12" s="3">
        <v>3.49</v>
      </c>
      <c r="F12" s="3" t="s">
        <v>14</v>
      </c>
      <c r="G12" s="3" t="s">
        <v>16</v>
      </c>
      <c r="H12" t="s">
        <v>19</v>
      </c>
      <c r="I12">
        <v>574</v>
      </c>
      <c r="J12" t="e" vm="8">
        <v>#VALUE!</v>
      </c>
      <c r="K12" t="e" cm="1" vm="2">
        <f t="array" aca="1" ref="K12" ca="1">_FV(Table2[[#This Row],[City]],"Country/region",TRUE)</f>
        <v>#VALUE!</v>
      </c>
      <c r="L12">
        <f>Table2[[#This Row],[Quantity]]*Table2[[#This Row],[Price]]</f>
        <v>2003.2600000000002</v>
      </c>
      <c r="N12" s="44" t="s">
        <v>51</v>
      </c>
      <c r="O12" s="44">
        <v>1.6233288756456574</v>
      </c>
      <c r="Q12" s="44" t="s">
        <v>51</v>
      </c>
      <c r="R12" s="44">
        <v>-0.21424989618873261</v>
      </c>
    </row>
    <row r="13" spans="2:18" x14ac:dyDescent="0.3">
      <c r="B13" s="3">
        <v>10463</v>
      </c>
      <c r="C13" s="4">
        <v>44874</v>
      </c>
      <c r="D13" t="s">
        <v>12</v>
      </c>
      <c r="E13" s="3">
        <v>2.95</v>
      </c>
      <c r="F13" s="3" t="s">
        <v>14</v>
      </c>
      <c r="G13" s="3" t="s">
        <v>16</v>
      </c>
      <c r="H13" t="s">
        <v>19</v>
      </c>
      <c r="I13">
        <v>678</v>
      </c>
      <c r="J13" t="e" vm="8">
        <v>#VALUE!</v>
      </c>
      <c r="K13" t="e" cm="1" vm="2">
        <f t="array" aca="1" ref="K13" ca="1">_FV(Table2[[#This Row],[City]],"Country/region",TRUE)</f>
        <v>#VALUE!</v>
      </c>
      <c r="L13">
        <f>Table2[[#This Row],[Quantity]]*Table2[[#This Row],[Price]]</f>
        <v>2000.1000000000001</v>
      </c>
      <c r="N13" s="44" t="s">
        <v>52</v>
      </c>
      <c r="O13" s="44">
        <v>30.27</v>
      </c>
      <c r="Q13" s="44" t="s">
        <v>52</v>
      </c>
      <c r="R13" s="44">
        <v>554</v>
      </c>
    </row>
    <row r="14" spans="2:18" x14ac:dyDescent="0.3">
      <c r="B14" s="3">
        <v>10464</v>
      </c>
      <c r="C14" s="4">
        <v>44874</v>
      </c>
      <c r="D14" t="s">
        <v>13</v>
      </c>
      <c r="E14" s="3">
        <v>4.99</v>
      </c>
      <c r="F14" s="3" t="s">
        <v>14</v>
      </c>
      <c r="G14" s="3" t="s">
        <v>16</v>
      </c>
      <c r="H14" t="s">
        <v>19</v>
      </c>
      <c r="I14">
        <v>201</v>
      </c>
      <c r="J14" t="e" vm="8">
        <v>#VALUE!</v>
      </c>
      <c r="K14" t="e" cm="1" vm="2">
        <f t="array" aca="1" ref="K14" ca="1">_FV(Table2[[#This Row],[City]],"Country/region",TRUE)</f>
        <v>#VALUE!</v>
      </c>
      <c r="L14">
        <f>Table2[[#This Row],[Quantity]]*Table2[[#This Row],[Price]]</f>
        <v>1002.99</v>
      </c>
      <c r="N14" s="44" t="s">
        <v>53</v>
      </c>
      <c r="O14" s="44">
        <v>2.95</v>
      </c>
      <c r="Q14" s="44" t="s">
        <v>53</v>
      </c>
      <c r="R14" s="44">
        <v>201</v>
      </c>
    </row>
    <row r="15" spans="2:18" x14ac:dyDescent="0.3">
      <c r="B15" s="3">
        <v>10465</v>
      </c>
      <c r="C15" s="4">
        <v>44875</v>
      </c>
      <c r="D15" t="s">
        <v>15</v>
      </c>
      <c r="E15" s="3">
        <v>12.99</v>
      </c>
      <c r="F15" s="3" t="s">
        <v>14</v>
      </c>
      <c r="G15" s="3" t="s">
        <v>16</v>
      </c>
      <c r="H15" t="s">
        <v>20</v>
      </c>
      <c r="I15">
        <v>555</v>
      </c>
      <c r="J15" t="e" vm="3">
        <v>#VALUE!</v>
      </c>
      <c r="K15" t="e" cm="1" vm="4">
        <f t="array" aca="1" ref="K15" ca="1">_FV(Table2[[#This Row],[City]],"Country/region",TRUE)</f>
        <v>#VALUE!</v>
      </c>
      <c r="L15">
        <f>Table2[[#This Row],[Quantity]]*Table2[[#This Row],[Price]]</f>
        <v>7209.45</v>
      </c>
      <c r="N15" s="44" t="s">
        <v>54</v>
      </c>
      <c r="O15" s="44">
        <v>33.22</v>
      </c>
      <c r="Q15" s="44" t="s">
        <v>54</v>
      </c>
      <c r="R15" s="44">
        <v>755</v>
      </c>
    </row>
    <row r="16" spans="2:18" x14ac:dyDescent="0.3">
      <c r="B16" s="3">
        <v>10466</v>
      </c>
      <c r="C16" s="4">
        <v>44875</v>
      </c>
      <c r="D16" t="s">
        <v>18</v>
      </c>
      <c r="E16" s="3">
        <v>9.9499999999999993</v>
      </c>
      <c r="F16" s="3" t="s">
        <v>14</v>
      </c>
      <c r="G16" s="3" t="s">
        <v>16</v>
      </c>
      <c r="H16" t="s">
        <v>20</v>
      </c>
      <c r="I16">
        <v>202</v>
      </c>
      <c r="J16" t="e" vm="3">
        <v>#VALUE!</v>
      </c>
      <c r="K16" t="e" cm="1" vm="4">
        <f t="array" aca="1" ref="K16" ca="1">_FV(Table2[[#This Row],[City]],"Country/region",TRUE)</f>
        <v>#VALUE!</v>
      </c>
      <c r="L16">
        <f>Table2[[#This Row],[Quantity]]*Table2[[#This Row],[Price]]</f>
        <v>2009.8999999999999</v>
      </c>
      <c r="N16" s="44" t="s">
        <v>55</v>
      </c>
      <c r="O16" s="44">
        <v>1886.6400000000046</v>
      </c>
      <c r="Q16" s="44" t="s">
        <v>55</v>
      </c>
      <c r="R16" s="44">
        <v>118539</v>
      </c>
    </row>
    <row r="17" spans="2:18" ht="16.2" thickBot="1" x14ac:dyDescent="0.35">
      <c r="B17" s="3">
        <v>10467</v>
      </c>
      <c r="C17" s="4">
        <v>44875</v>
      </c>
      <c r="D17" t="s">
        <v>9</v>
      </c>
      <c r="E17" s="3">
        <v>3.49</v>
      </c>
      <c r="F17" s="3" t="s">
        <v>14</v>
      </c>
      <c r="G17" s="3" t="s">
        <v>16</v>
      </c>
      <c r="H17" t="s">
        <v>20</v>
      </c>
      <c r="I17">
        <v>574</v>
      </c>
      <c r="J17" t="e" vm="3">
        <v>#VALUE!</v>
      </c>
      <c r="K17" t="e" cm="1" vm="4">
        <f t="array" aca="1" ref="K17" ca="1">_FV(Table2[[#This Row],[City]],"Country/region",TRUE)</f>
        <v>#VALUE!</v>
      </c>
      <c r="L17">
        <f>Table2[[#This Row],[Quantity]]*Table2[[#This Row],[Price]]</f>
        <v>2003.2600000000002</v>
      </c>
      <c r="N17" s="45" t="s">
        <v>56</v>
      </c>
      <c r="O17" s="45">
        <v>257</v>
      </c>
      <c r="Q17" s="45" t="s">
        <v>56</v>
      </c>
      <c r="R17" s="45">
        <v>257</v>
      </c>
    </row>
    <row r="18" spans="2:18" x14ac:dyDescent="0.3">
      <c r="B18" s="3">
        <v>10468</v>
      </c>
      <c r="C18" s="4">
        <v>44875</v>
      </c>
      <c r="D18" t="s">
        <v>12</v>
      </c>
      <c r="E18" s="3">
        <v>2.95</v>
      </c>
      <c r="F18" s="3" t="s">
        <v>14</v>
      </c>
      <c r="G18" s="3" t="s">
        <v>16</v>
      </c>
      <c r="H18" t="s">
        <v>20</v>
      </c>
      <c r="I18">
        <v>678</v>
      </c>
      <c r="J18" t="e" vm="3">
        <v>#VALUE!</v>
      </c>
      <c r="K18" t="e" cm="1" vm="4">
        <f t="array" aca="1" ref="K18" ca="1">_FV(Table2[[#This Row],[City]],"Country/region",TRUE)</f>
        <v>#VALUE!</v>
      </c>
      <c r="L18">
        <f>Table2[[#This Row],[Quantity]]*Table2[[#This Row],[Price]]</f>
        <v>2000.1000000000001</v>
      </c>
    </row>
    <row r="19" spans="2:18" x14ac:dyDescent="0.3">
      <c r="B19" s="3">
        <v>10470</v>
      </c>
      <c r="C19" s="4">
        <v>44876</v>
      </c>
      <c r="D19" t="s">
        <v>15</v>
      </c>
      <c r="E19" s="3">
        <v>12.99</v>
      </c>
      <c r="F19" s="3" t="s">
        <v>14</v>
      </c>
      <c r="G19" s="3" t="s">
        <v>16</v>
      </c>
      <c r="H19" t="s">
        <v>20</v>
      </c>
      <c r="I19">
        <v>555</v>
      </c>
      <c r="J19" t="e" vm="3">
        <v>#VALUE!</v>
      </c>
      <c r="K19" t="e" cm="1" vm="4">
        <f t="array" aca="1" ref="K19" ca="1">_FV(Table2[[#This Row],[City]],"Country/region",TRUE)</f>
        <v>#VALUE!</v>
      </c>
      <c r="L19">
        <f>Table2[[#This Row],[Quantity]]*Table2[[#This Row],[Price]]</f>
        <v>7209.45</v>
      </c>
    </row>
    <row r="20" spans="2:18" x14ac:dyDescent="0.3">
      <c r="B20" s="3">
        <v>10471</v>
      </c>
      <c r="C20" s="4">
        <v>44876</v>
      </c>
      <c r="D20" t="s">
        <v>18</v>
      </c>
      <c r="E20" s="3">
        <v>9.9499999999999993</v>
      </c>
      <c r="F20" s="3" t="s">
        <v>14</v>
      </c>
      <c r="G20" s="3" t="s">
        <v>16</v>
      </c>
      <c r="H20" t="s">
        <v>20</v>
      </c>
      <c r="I20">
        <v>202</v>
      </c>
      <c r="J20" t="e" vm="3">
        <v>#VALUE!</v>
      </c>
      <c r="K20" t="e" cm="1" vm="4">
        <f t="array" aca="1" ref="K20" ca="1">_FV(Table2[[#This Row],[City]],"Country/region",TRUE)</f>
        <v>#VALUE!</v>
      </c>
      <c r="L20">
        <f>Table2[[#This Row],[Quantity]]*Table2[[#This Row],[Price]]</f>
        <v>2009.8999999999999</v>
      </c>
    </row>
    <row r="21" spans="2:18" x14ac:dyDescent="0.3">
      <c r="B21" s="3">
        <v>10472</v>
      </c>
      <c r="C21" s="4">
        <v>44876</v>
      </c>
      <c r="D21" t="s">
        <v>9</v>
      </c>
      <c r="E21" s="3">
        <v>3.49</v>
      </c>
      <c r="F21" s="3" t="s">
        <v>14</v>
      </c>
      <c r="G21" s="3" t="s">
        <v>16</v>
      </c>
      <c r="H21" t="s">
        <v>20</v>
      </c>
      <c r="I21">
        <v>631</v>
      </c>
      <c r="J21" t="e" vm="3">
        <v>#VALUE!</v>
      </c>
      <c r="K21" t="e" cm="1" vm="4">
        <f t="array" aca="1" ref="K21" ca="1">_FV(Table2[[#This Row],[City]],"Country/region",TRUE)</f>
        <v>#VALUE!</v>
      </c>
      <c r="L21">
        <f>Table2[[#This Row],[Quantity]]*Table2[[#This Row],[Price]]</f>
        <v>2202.19</v>
      </c>
    </row>
    <row r="22" spans="2:18" x14ac:dyDescent="0.3">
      <c r="B22" s="3">
        <v>10473</v>
      </c>
      <c r="C22" s="4">
        <v>44876</v>
      </c>
      <c r="D22" t="s">
        <v>12</v>
      </c>
      <c r="E22" s="3">
        <v>2.95</v>
      </c>
      <c r="F22" s="3" t="s">
        <v>14</v>
      </c>
      <c r="G22" s="3" t="s">
        <v>16</v>
      </c>
      <c r="H22" t="s">
        <v>20</v>
      </c>
      <c r="I22">
        <v>678</v>
      </c>
      <c r="J22" t="e" vm="3">
        <v>#VALUE!</v>
      </c>
      <c r="K22" t="e" cm="1" vm="4">
        <f t="array" aca="1" ref="K22" ca="1">_FV(Table2[[#This Row],[City]],"Country/region",TRUE)</f>
        <v>#VALUE!</v>
      </c>
      <c r="L22">
        <f>Table2[[#This Row],[Quantity]]*Table2[[#This Row],[Price]]</f>
        <v>2000.1000000000001</v>
      </c>
    </row>
    <row r="23" spans="2:18" x14ac:dyDescent="0.3">
      <c r="B23" s="3">
        <v>10474</v>
      </c>
      <c r="C23" s="4">
        <v>44876</v>
      </c>
      <c r="D23" t="s">
        <v>13</v>
      </c>
      <c r="E23" s="3">
        <v>4.99</v>
      </c>
      <c r="F23" s="3" t="s">
        <v>14</v>
      </c>
      <c r="G23" s="3" t="s">
        <v>16</v>
      </c>
      <c r="H23" t="s">
        <v>20</v>
      </c>
      <c r="I23">
        <v>201</v>
      </c>
      <c r="J23" t="e" vm="3">
        <v>#VALUE!</v>
      </c>
      <c r="K23" t="e" cm="1" vm="4">
        <f t="array" aca="1" ref="K23" ca="1">_FV(Table2[[#This Row],[City]],"Country/region",TRUE)</f>
        <v>#VALUE!</v>
      </c>
      <c r="L23">
        <f>Table2[[#This Row],[Quantity]]*Table2[[#This Row],[Price]]</f>
        <v>1002.99</v>
      </c>
    </row>
    <row r="24" spans="2:18" x14ac:dyDescent="0.3">
      <c r="B24" s="3">
        <v>10475</v>
      </c>
      <c r="C24" s="4">
        <v>44877</v>
      </c>
      <c r="D24" t="s">
        <v>15</v>
      </c>
      <c r="E24" s="3">
        <v>12.99</v>
      </c>
      <c r="F24" s="3" t="s">
        <v>14</v>
      </c>
      <c r="G24" s="3" t="s">
        <v>16</v>
      </c>
      <c r="H24" t="s">
        <v>20</v>
      </c>
      <c r="I24">
        <v>524</v>
      </c>
      <c r="J24" t="e" vm="3">
        <v>#VALUE!</v>
      </c>
      <c r="K24" t="e" cm="1" vm="4">
        <f t="array" aca="1" ref="K24" ca="1">_FV(Table2[[#This Row],[City]],"Country/region",TRUE)</f>
        <v>#VALUE!</v>
      </c>
      <c r="L24">
        <f>Table2[[#This Row],[Quantity]]*Table2[[#This Row],[Price]]</f>
        <v>6806.76</v>
      </c>
    </row>
    <row r="25" spans="2:18" x14ac:dyDescent="0.3">
      <c r="B25" s="3">
        <v>10476</v>
      </c>
      <c r="C25" s="4">
        <v>44877</v>
      </c>
      <c r="D25" t="s">
        <v>18</v>
      </c>
      <c r="E25" s="3">
        <v>9.9499999999999993</v>
      </c>
      <c r="F25" s="3" t="s">
        <v>14</v>
      </c>
      <c r="G25" s="3" t="s">
        <v>16</v>
      </c>
      <c r="H25" t="s">
        <v>20</v>
      </c>
      <c r="I25">
        <v>202</v>
      </c>
      <c r="J25" t="e" vm="3">
        <v>#VALUE!</v>
      </c>
      <c r="K25" t="e" cm="1" vm="4">
        <f t="array" aca="1" ref="K25" ca="1">_FV(Table2[[#This Row],[City]],"Country/region",TRUE)</f>
        <v>#VALUE!</v>
      </c>
      <c r="L25">
        <f>Table2[[#This Row],[Quantity]]*Table2[[#This Row],[Price]]</f>
        <v>2009.8999999999999</v>
      </c>
    </row>
    <row r="26" spans="2:18" x14ac:dyDescent="0.3">
      <c r="B26" s="3">
        <v>10477</v>
      </c>
      <c r="C26" s="4">
        <v>44877</v>
      </c>
      <c r="D26" t="s">
        <v>9</v>
      </c>
      <c r="E26" s="3">
        <v>3.49</v>
      </c>
      <c r="F26" s="3" t="s">
        <v>14</v>
      </c>
      <c r="G26" s="3" t="s">
        <v>16</v>
      </c>
      <c r="H26" t="s">
        <v>20</v>
      </c>
      <c r="I26">
        <v>631</v>
      </c>
      <c r="J26" t="e" vm="3">
        <v>#VALUE!</v>
      </c>
      <c r="K26" t="e" cm="1" vm="4">
        <f t="array" aca="1" ref="K26" ca="1">_FV(Table2[[#This Row],[City]],"Country/region",TRUE)</f>
        <v>#VALUE!</v>
      </c>
      <c r="L26">
        <f>Table2[[#This Row],[Quantity]]*Table2[[#This Row],[Price]]</f>
        <v>2202.19</v>
      </c>
    </row>
    <row r="27" spans="2:18" x14ac:dyDescent="0.3">
      <c r="B27" s="3">
        <v>10478</v>
      </c>
      <c r="C27" s="4">
        <v>44877</v>
      </c>
      <c r="D27" t="s">
        <v>12</v>
      </c>
      <c r="E27" s="3">
        <v>2.95</v>
      </c>
      <c r="F27" s="3" t="s">
        <v>14</v>
      </c>
      <c r="G27" s="3" t="s">
        <v>16</v>
      </c>
      <c r="H27" t="s">
        <v>20</v>
      </c>
      <c r="I27">
        <v>678</v>
      </c>
      <c r="J27" t="e" vm="3">
        <v>#VALUE!</v>
      </c>
      <c r="K27" t="e" cm="1" vm="4">
        <f t="array" aca="1" ref="K27" ca="1">_FV(Table2[[#This Row],[City]],"Country/region",TRUE)</f>
        <v>#VALUE!</v>
      </c>
      <c r="L27">
        <f>Table2[[#This Row],[Quantity]]*Table2[[#This Row],[Price]]</f>
        <v>2000.1000000000001</v>
      </c>
    </row>
    <row r="28" spans="2:18" x14ac:dyDescent="0.3">
      <c r="B28" s="3">
        <v>10479</v>
      </c>
      <c r="C28" s="4">
        <v>44877</v>
      </c>
      <c r="D28" t="s">
        <v>13</v>
      </c>
      <c r="E28" s="3">
        <v>4.99</v>
      </c>
      <c r="F28" s="3" t="s">
        <v>14</v>
      </c>
      <c r="G28" s="3" t="s">
        <v>16</v>
      </c>
      <c r="H28" t="s">
        <v>20</v>
      </c>
      <c r="I28">
        <v>201</v>
      </c>
      <c r="J28" t="e" vm="3">
        <v>#VALUE!</v>
      </c>
      <c r="K28" t="e" cm="1" vm="4">
        <f t="array" aca="1" ref="K28" ca="1">_FV(Table2[[#This Row],[City]],"Country/region",TRUE)</f>
        <v>#VALUE!</v>
      </c>
      <c r="L28">
        <f>Table2[[#This Row],[Quantity]]*Table2[[#This Row],[Price]]</f>
        <v>1002.99</v>
      </c>
    </row>
    <row r="29" spans="2:18" x14ac:dyDescent="0.3">
      <c r="B29" s="3">
        <v>10480</v>
      </c>
      <c r="C29" s="4">
        <v>44878</v>
      </c>
      <c r="D29" t="s">
        <v>15</v>
      </c>
      <c r="E29" s="3">
        <v>12.99</v>
      </c>
      <c r="F29" s="3" t="s">
        <v>14</v>
      </c>
      <c r="G29" s="3" t="s">
        <v>16</v>
      </c>
      <c r="H29" t="s">
        <v>20</v>
      </c>
      <c r="I29">
        <v>509</v>
      </c>
      <c r="J29" t="e" vm="3">
        <v>#VALUE!</v>
      </c>
      <c r="K29" t="e" cm="1" vm="4">
        <f t="array" aca="1" ref="K29" ca="1">_FV(Table2[[#This Row],[City]],"Country/region",TRUE)</f>
        <v>#VALUE!</v>
      </c>
      <c r="L29">
        <f>Table2[[#This Row],[Quantity]]*Table2[[#This Row],[Price]]</f>
        <v>6611.91</v>
      </c>
    </row>
    <row r="30" spans="2:18" x14ac:dyDescent="0.3">
      <c r="B30" s="3">
        <v>10481</v>
      </c>
      <c r="C30" s="4">
        <v>44878</v>
      </c>
      <c r="D30" t="s">
        <v>18</v>
      </c>
      <c r="E30" s="3">
        <v>9.9499999999999993</v>
      </c>
      <c r="F30" s="3" t="s">
        <v>14</v>
      </c>
      <c r="G30" s="3" t="s">
        <v>16</v>
      </c>
      <c r="H30" t="s">
        <v>20</v>
      </c>
      <c r="I30">
        <v>202</v>
      </c>
      <c r="J30" t="e" vm="3">
        <v>#VALUE!</v>
      </c>
      <c r="K30" t="e" cm="1" vm="4">
        <f t="array" aca="1" ref="K30" ca="1">_FV(Table2[[#This Row],[City]],"Country/region",TRUE)</f>
        <v>#VALUE!</v>
      </c>
      <c r="L30">
        <f>Table2[[#This Row],[Quantity]]*Table2[[#This Row],[Price]]</f>
        <v>2009.8999999999999</v>
      </c>
    </row>
    <row r="31" spans="2:18" x14ac:dyDescent="0.3">
      <c r="B31" s="3">
        <v>10482</v>
      </c>
      <c r="C31" s="4">
        <v>44878</v>
      </c>
      <c r="D31" t="s">
        <v>9</v>
      </c>
      <c r="E31" s="3">
        <v>25.5</v>
      </c>
      <c r="F31" s="3" t="s">
        <v>14</v>
      </c>
      <c r="G31" s="3" t="s">
        <v>16</v>
      </c>
      <c r="H31" t="s">
        <v>21</v>
      </c>
      <c r="I31">
        <v>631</v>
      </c>
      <c r="J31" t="e" vm="5">
        <v>#VALUE!</v>
      </c>
      <c r="K31" t="e" cm="1" vm="6">
        <f t="array" aca="1" ref="K31" ca="1">_FV(Table2[[#This Row],[City]],"Country/region",TRUE)</f>
        <v>#VALUE!</v>
      </c>
      <c r="L31">
        <f>Table2[[#This Row],[Quantity]]*Table2[[#This Row],[Price]]</f>
        <v>16090.5</v>
      </c>
    </row>
    <row r="32" spans="2:18" x14ac:dyDescent="0.3">
      <c r="B32" s="3">
        <v>10483</v>
      </c>
      <c r="C32" s="4">
        <v>44878</v>
      </c>
      <c r="D32" t="s">
        <v>12</v>
      </c>
      <c r="E32" s="3">
        <v>33.22</v>
      </c>
      <c r="F32" s="3" t="s">
        <v>14</v>
      </c>
      <c r="G32" s="3" t="s">
        <v>16</v>
      </c>
      <c r="H32" t="s">
        <v>21</v>
      </c>
      <c r="I32">
        <v>678</v>
      </c>
      <c r="J32" t="e" vm="5">
        <v>#VALUE!</v>
      </c>
      <c r="K32" t="e" cm="1" vm="6">
        <f t="array" aca="1" ref="K32" ca="1">_FV(Table2[[#This Row],[City]],"Country/region",TRUE)</f>
        <v>#VALUE!</v>
      </c>
      <c r="L32">
        <f>Table2[[#This Row],[Quantity]]*Table2[[#This Row],[Price]]</f>
        <v>22523.16</v>
      </c>
    </row>
    <row r="33" spans="2:12" x14ac:dyDescent="0.3">
      <c r="B33" s="3">
        <v>10484</v>
      </c>
      <c r="C33" s="4">
        <v>44878</v>
      </c>
      <c r="D33" t="s">
        <v>13</v>
      </c>
      <c r="E33" s="3">
        <v>21.44</v>
      </c>
      <c r="F33" s="3" t="s">
        <v>14</v>
      </c>
      <c r="G33" s="3" t="s">
        <v>16</v>
      </c>
      <c r="H33" t="s">
        <v>21</v>
      </c>
      <c r="I33">
        <v>201</v>
      </c>
      <c r="J33" t="e" vm="5">
        <v>#VALUE!</v>
      </c>
      <c r="K33" t="e" cm="1" vm="6">
        <f t="array" aca="1" ref="K33" ca="1">_FV(Table2[[#This Row],[City]],"Country/region",TRUE)</f>
        <v>#VALUE!</v>
      </c>
      <c r="L33">
        <f>Table2[[#This Row],[Quantity]]*Table2[[#This Row],[Price]]</f>
        <v>4309.4400000000005</v>
      </c>
    </row>
    <row r="34" spans="2:12" x14ac:dyDescent="0.3">
      <c r="B34" s="3">
        <v>10485</v>
      </c>
      <c r="C34" s="4">
        <v>44879</v>
      </c>
      <c r="D34" t="s">
        <v>15</v>
      </c>
      <c r="E34" s="3">
        <v>27.99</v>
      </c>
      <c r="F34" s="3" t="s">
        <v>14</v>
      </c>
      <c r="G34" s="3" t="s">
        <v>16</v>
      </c>
      <c r="H34" t="s">
        <v>21</v>
      </c>
      <c r="I34">
        <v>524</v>
      </c>
      <c r="J34" t="e" vm="5">
        <v>#VALUE!</v>
      </c>
      <c r="K34" t="e" cm="1" vm="6">
        <f t="array" aca="1" ref="K34" ca="1">_FV(Table2[[#This Row],[City]],"Country/region",TRUE)</f>
        <v>#VALUE!</v>
      </c>
      <c r="L34">
        <f>Table2[[#This Row],[Quantity]]*Table2[[#This Row],[Price]]</f>
        <v>14666.759999999998</v>
      </c>
    </row>
    <row r="35" spans="2:12" x14ac:dyDescent="0.3">
      <c r="B35" s="3">
        <v>10486</v>
      </c>
      <c r="C35" s="4">
        <v>44879</v>
      </c>
      <c r="D35" t="s">
        <v>18</v>
      </c>
      <c r="E35" s="3">
        <v>29.05</v>
      </c>
      <c r="F35" s="3" t="s">
        <v>14</v>
      </c>
      <c r="G35" s="3" t="s">
        <v>16</v>
      </c>
      <c r="H35" t="s">
        <v>21</v>
      </c>
      <c r="I35">
        <v>202</v>
      </c>
      <c r="J35" t="e" vm="5">
        <v>#VALUE!</v>
      </c>
      <c r="K35" t="e" cm="1" vm="6">
        <f t="array" aca="1" ref="K35" ca="1">_FV(Table2[[#This Row],[City]],"Country/region",TRUE)</f>
        <v>#VALUE!</v>
      </c>
      <c r="L35">
        <f>Table2[[#This Row],[Quantity]]*Table2[[#This Row],[Price]]</f>
        <v>5868.1</v>
      </c>
    </row>
    <row r="36" spans="2:12" x14ac:dyDescent="0.3">
      <c r="B36" s="3">
        <v>10487</v>
      </c>
      <c r="C36" s="4">
        <v>44879</v>
      </c>
      <c r="D36" t="s">
        <v>9</v>
      </c>
      <c r="E36" s="3">
        <v>3.49</v>
      </c>
      <c r="F36" s="3" t="s">
        <v>14</v>
      </c>
      <c r="G36" s="3" t="s">
        <v>16</v>
      </c>
      <c r="H36" t="s">
        <v>21</v>
      </c>
      <c r="I36">
        <v>631</v>
      </c>
      <c r="J36" t="e" vm="5">
        <v>#VALUE!</v>
      </c>
      <c r="K36" t="e" cm="1" vm="6">
        <f t="array" aca="1" ref="K36" ca="1">_FV(Table2[[#This Row],[City]],"Country/region",TRUE)</f>
        <v>#VALUE!</v>
      </c>
      <c r="L36">
        <f>Table2[[#This Row],[Quantity]]*Table2[[#This Row],[Price]]</f>
        <v>2202.19</v>
      </c>
    </row>
    <row r="37" spans="2:12" x14ac:dyDescent="0.3">
      <c r="B37" s="3">
        <v>10488</v>
      </c>
      <c r="C37" s="4">
        <v>44879</v>
      </c>
      <c r="D37" t="s">
        <v>12</v>
      </c>
      <c r="E37" s="3">
        <v>2.95</v>
      </c>
      <c r="F37" s="3" t="s">
        <v>14</v>
      </c>
      <c r="G37" s="3" t="s">
        <v>16</v>
      </c>
      <c r="H37" t="s">
        <v>21</v>
      </c>
      <c r="I37">
        <v>678</v>
      </c>
      <c r="J37" t="e" vm="5">
        <v>#VALUE!</v>
      </c>
      <c r="K37" t="e" cm="1" vm="6">
        <f t="array" aca="1" ref="K37" ca="1">_FV(Table2[[#This Row],[City]],"Country/region",TRUE)</f>
        <v>#VALUE!</v>
      </c>
      <c r="L37">
        <f>Table2[[#This Row],[Quantity]]*Table2[[#This Row],[Price]]</f>
        <v>2000.1000000000001</v>
      </c>
    </row>
    <row r="38" spans="2:12" x14ac:dyDescent="0.3">
      <c r="B38" s="3">
        <v>10489</v>
      </c>
      <c r="C38" s="4">
        <v>44879</v>
      </c>
      <c r="D38" t="s">
        <v>13</v>
      </c>
      <c r="E38" s="3">
        <v>4.99</v>
      </c>
      <c r="F38" s="3" t="s">
        <v>14</v>
      </c>
      <c r="G38" s="3" t="s">
        <v>16</v>
      </c>
      <c r="H38" t="s">
        <v>20</v>
      </c>
      <c r="I38">
        <v>201</v>
      </c>
      <c r="J38" t="e" vm="3">
        <v>#VALUE!</v>
      </c>
      <c r="K38" t="e" cm="1" vm="4">
        <f t="array" aca="1" ref="K38" ca="1">_FV(Table2[[#This Row],[City]],"Country/region",TRUE)</f>
        <v>#VALUE!</v>
      </c>
      <c r="L38">
        <f>Table2[[#This Row],[Quantity]]*Table2[[#This Row],[Price]]</f>
        <v>1002.99</v>
      </c>
    </row>
    <row r="39" spans="2:12" x14ac:dyDescent="0.3">
      <c r="B39" s="3">
        <v>10490</v>
      </c>
      <c r="C39" s="4">
        <v>44880</v>
      </c>
      <c r="D39" t="s">
        <v>15</v>
      </c>
      <c r="E39" s="3">
        <v>12.99</v>
      </c>
      <c r="F39" s="3" t="s">
        <v>14</v>
      </c>
      <c r="G39" s="3" t="s">
        <v>16</v>
      </c>
      <c r="H39" t="s">
        <v>20</v>
      </c>
      <c r="I39">
        <v>509</v>
      </c>
      <c r="J39" t="e" vm="3">
        <v>#VALUE!</v>
      </c>
      <c r="K39" t="e" cm="1" vm="4">
        <f t="array" aca="1" ref="K39" ca="1">_FV(Table2[[#This Row],[City]],"Country/region",TRUE)</f>
        <v>#VALUE!</v>
      </c>
      <c r="L39">
        <f>Table2[[#This Row],[Quantity]]*Table2[[#This Row],[Price]]</f>
        <v>6611.91</v>
      </c>
    </row>
    <row r="40" spans="2:12" x14ac:dyDescent="0.3">
      <c r="B40" s="3">
        <v>10491</v>
      </c>
      <c r="C40" s="4">
        <v>44880</v>
      </c>
      <c r="D40" t="s">
        <v>18</v>
      </c>
      <c r="E40" s="3">
        <v>9.9499999999999993</v>
      </c>
      <c r="F40" s="3" t="s">
        <v>14</v>
      </c>
      <c r="G40" s="3" t="s">
        <v>16</v>
      </c>
      <c r="H40" t="s">
        <v>20</v>
      </c>
      <c r="I40">
        <v>202</v>
      </c>
      <c r="J40" t="e" vm="3">
        <v>#VALUE!</v>
      </c>
      <c r="K40" t="e" cm="1" vm="4">
        <f t="array" aca="1" ref="K40" ca="1">_FV(Table2[[#This Row],[City]],"Country/region",TRUE)</f>
        <v>#VALUE!</v>
      </c>
      <c r="L40">
        <f>Table2[[#This Row],[Quantity]]*Table2[[#This Row],[Price]]</f>
        <v>2009.8999999999999</v>
      </c>
    </row>
    <row r="41" spans="2:12" x14ac:dyDescent="0.3">
      <c r="B41" s="3">
        <v>10492</v>
      </c>
      <c r="C41" s="4">
        <v>44880</v>
      </c>
      <c r="D41" t="s">
        <v>9</v>
      </c>
      <c r="E41" s="3">
        <v>3.49</v>
      </c>
      <c r="F41" s="3" t="s">
        <v>14</v>
      </c>
      <c r="G41" s="3" t="s">
        <v>16</v>
      </c>
      <c r="H41" t="s">
        <v>20</v>
      </c>
      <c r="I41">
        <v>574</v>
      </c>
      <c r="J41" t="e" vm="3">
        <v>#VALUE!</v>
      </c>
      <c r="K41" t="e" cm="1" vm="4">
        <f t="array" aca="1" ref="K41" ca="1">_FV(Table2[[#This Row],[City]],"Country/region",TRUE)</f>
        <v>#VALUE!</v>
      </c>
      <c r="L41">
        <f>Table2[[#This Row],[Quantity]]*Table2[[#This Row],[Price]]</f>
        <v>2003.2600000000002</v>
      </c>
    </row>
    <row r="42" spans="2:12" x14ac:dyDescent="0.3">
      <c r="B42" s="3">
        <v>10493</v>
      </c>
      <c r="C42" s="4">
        <v>44880</v>
      </c>
      <c r="D42" t="s">
        <v>12</v>
      </c>
      <c r="E42" s="3">
        <v>2.95</v>
      </c>
      <c r="F42" s="3" t="s">
        <v>14</v>
      </c>
      <c r="G42" s="3" t="s">
        <v>16</v>
      </c>
      <c r="H42" t="s">
        <v>20</v>
      </c>
      <c r="I42">
        <v>678</v>
      </c>
      <c r="J42" t="e" vm="3">
        <v>#VALUE!</v>
      </c>
      <c r="K42" t="e" cm="1" vm="4">
        <f t="array" aca="1" ref="K42" ca="1">_FV(Table2[[#This Row],[City]],"Country/region",TRUE)</f>
        <v>#VALUE!</v>
      </c>
      <c r="L42">
        <f>Table2[[#This Row],[Quantity]]*Table2[[#This Row],[Price]]</f>
        <v>2000.1000000000001</v>
      </c>
    </row>
    <row r="43" spans="2:12" x14ac:dyDescent="0.3">
      <c r="B43" s="3">
        <v>10494</v>
      </c>
      <c r="C43" s="4">
        <v>44880</v>
      </c>
      <c r="D43" t="s">
        <v>13</v>
      </c>
      <c r="E43" s="3">
        <v>4.99</v>
      </c>
      <c r="F43" s="3" t="s">
        <v>14</v>
      </c>
      <c r="G43" s="3" t="s">
        <v>16</v>
      </c>
      <c r="H43" t="s">
        <v>20</v>
      </c>
      <c r="I43">
        <v>201</v>
      </c>
      <c r="J43" t="e" vm="3">
        <v>#VALUE!</v>
      </c>
      <c r="K43" t="e" cm="1" vm="4">
        <f t="array" aca="1" ref="K43" ca="1">_FV(Table2[[#This Row],[City]],"Country/region",TRUE)</f>
        <v>#VALUE!</v>
      </c>
      <c r="L43">
        <f>Table2[[#This Row],[Quantity]]*Table2[[#This Row],[Price]]</f>
        <v>1002.99</v>
      </c>
    </row>
    <row r="44" spans="2:12" x14ac:dyDescent="0.3">
      <c r="B44" s="3">
        <v>10495</v>
      </c>
      <c r="C44" s="4">
        <v>44881</v>
      </c>
      <c r="D44" t="s">
        <v>15</v>
      </c>
      <c r="E44" s="3">
        <v>12.99</v>
      </c>
      <c r="F44" s="3" t="s">
        <v>14</v>
      </c>
      <c r="G44" s="3" t="s">
        <v>16</v>
      </c>
      <c r="H44" t="s">
        <v>20</v>
      </c>
      <c r="I44">
        <v>509</v>
      </c>
      <c r="J44" t="e" vm="3">
        <v>#VALUE!</v>
      </c>
      <c r="K44" t="e" cm="1" vm="4">
        <f t="array" aca="1" ref="K44" ca="1">_FV(Table2[[#This Row],[City]],"Country/region",TRUE)</f>
        <v>#VALUE!</v>
      </c>
      <c r="L44">
        <f>Table2[[#This Row],[Quantity]]*Table2[[#This Row],[Price]]</f>
        <v>6611.91</v>
      </c>
    </row>
    <row r="45" spans="2:12" x14ac:dyDescent="0.3">
      <c r="B45" s="3">
        <v>10496</v>
      </c>
      <c r="C45" s="4">
        <v>44881</v>
      </c>
      <c r="D45" t="s">
        <v>18</v>
      </c>
      <c r="E45" s="3">
        <v>9.9499999999999993</v>
      </c>
      <c r="F45" s="3" t="s">
        <v>14</v>
      </c>
      <c r="G45" s="3" t="s">
        <v>16</v>
      </c>
      <c r="H45" t="s">
        <v>20</v>
      </c>
      <c r="I45">
        <v>202</v>
      </c>
      <c r="J45" t="e" vm="3">
        <v>#VALUE!</v>
      </c>
      <c r="K45" t="e" cm="1" vm="4">
        <f t="array" aca="1" ref="K45" ca="1">_FV(Table2[[#This Row],[City]],"Country/region",TRUE)</f>
        <v>#VALUE!</v>
      </c>
      <c r="L45">
        <f>Table2[[#This Row],[Quantity]]*Table2[[#This Row],[Price]]</f>
        <v>2009.8999999999999</v>
      </c>
    </row>
    <row r="46" spans="2:12" x14ac:dyDescent="0.3">
      <c r="B46" s="3">
        <v>10497</v>
      </c>
      <c r="C46" s="4">
        <v>44881</v>
      </c>
      <c r="D46" t="s">
        <v>9</v>
      </c>
      <c r="E46" s="3">
        <v>3.49</v>
      </c>
      <c r="F46" s="3" t="s">
        <v>14</v>
      </c>
      <c r="G46" s="3" t="s">
        <v>16</v>
      </c>
      <c r="H46" t="s">
        <v>20</v>
      </c>
      <c r="I46">
        <v>574</v>
      </c>
      <c r="J46" t="e" vm="3">
        <v>#VALUE!</v>
      </c>
      <c r="K46" t="e" cm="1" vm="4">
        <f t="array" aca="1" ref="K46" ca="1">_FV(Table2[[#This Row],[City]],"Country/region",TRUE)</f>
        <v>#VALUE!</v>
      </c>
      <c r="L46">
        <f>Table2[[#This Row],[Quantity]]*Table2[[#This Row],[Price]]</f>
        <v>2003.2600000000002</v>
      </c>
    </row>
    <row r="47" spans="2:12" x14ac:dyDescent="0.3">
      <c r="B47" s="3">
        <v>10498</v>
      </c>
      <c r="C47" s="4">
        <v>44881</v>
      </c>
      <c r="D47" t="s">
        <v>12</v>
      </c>
      <c r="E47" s="3">
        <v>2.95</v>
      </c>
      <c r="F47" s="3" t="s">
        <v>22</v>
      </c>
      <c r="G47" s="3" t="s">
        <v>16</v>
      </c>
      <c r="H47" t="s">
        <v>20</v>
      </c>
      <c r="I47">
        <v>678</v>
      </c>
      <c r="J47" t="e" vm="3">
        <v>#VALUE!</v>
      </c>
      <c r="K47" t="e" cm="1" vm="4">
        <f t="array" aca="1" ref="K47" ca="1">_FV(Table2[[#This Row],[City]],"Country/region",TRUE)</f>
        <v>#VALUE!</v>
      </c>
      <c r="L47">
        <f>Table2[[#This Row],[Quantity]]*Table2[[#This Row],[Price]]</f>
        <v>2000.1000000000001</v>
      </c>
    </row>
    <row r="48" spans="2:12" x14ac:dyDescent="0.3">
      <c r="B48" s="3">
        <v>10499</v>
      </c>
      <c r="C48" s="4">
        <v>44881</v>
      </c>
      <c r="D48" t="s">
        <v>13</v>
      </c>
      <c r="E48" s="3">
        <v>4.99</v>
      </c>
      <c r="F48" s="3" t="s">
        <v>22</v>
      </c>
      <c r="G48" s="3" t="s">
        <v>16</v>
      </c>
      <c r="H48" t="s">
        <v>20</v>
      </c>
      <c r="I48">
        <v>201</v>
      </c>
      <c r="J48" t="e" vm="3">
        <v>#VALUE!</v>
      </c>
      <c r="K48" t="e" cm="1" vm="4">
        <f t="array" aca="1" ref="K48" ca="1">_FV(Table2[[#This Row],[City]],"Country/region",TRUE)</f>
        <v>#VALUE!</v>
      </c>
      <c r="L48">
        <f>Table2[[#This Row],[Quantity]]*Table2[[#This Row],[Price]]</f>
        <v>1002.99</v>
      </c>
    </row>
    <row r="49" spans="2:12" x14ac:dyDescent="0.3">
      <c r="B49" s="3">
        <v>10500</v>
      </c>
      <c r="C49" s="4">
        <v>44882</v>
      </c>
      <c r="D49" t="s">
        <v>15</v>
      </c>
      <c r="E49" s="3">
        <v>12.99</v>
      </c>
      <c r="F49" s="3" t="s">
        <v>22</v>
      </c>
      <c r="G49" s="3" t="s">
        <v>16</v>
      </c>
      <c r="H49" t="s">
        <v>20</v>
      </c>
      <c r="I49">
        <v>524</v>
      </c>
      <c r="J49" t="e" vm="3">
        <v>#VALUE!</v>
      </c>
      <c r="K49" t="e" cm="1" vm="4">
        <f t="array" aca="1" ref="K49" ca="1">_FV(Table2[[#This Row],[City]],"Country/region",TRUE)</f>
        <v>#VALUE!</v>
      </c>
      <c r="L49">
        <f>Table2[[#This Row],[Quantity]]*Table2[[#This Row],[Price]]</f>
        <v>6806.76</v>
      </c>
    </row>
    <row r="50" spans="2:12" x14ac:dyDescent="0.3">
      <c r="B50" s="3">
        <v>10501</v>
      </c>
      <c r="C50" s="4">
        <v>44882</v>
      </c>
      <c r="D50" t="s">
        <v>18</v>
      </c>
      <c r="E50" s="3">
        <v>9.9499999999999993</v>
      </c>
      <c r="F50" s="3" t="s">
        <v>22</v>
      </c>
      <c r="G50" s="3" t="s">
        <v>16</v>
      </c>
      <c r="H50" t="s">
        <v>20</v>
      </c>
      <c r="I50">
        <v>202</v>
      </c>
      <c r="J50" t="e" vm="3">
        <v>#VALUE!</v>
      </c>
      <c r="K50" t="e" cm="1" vm="4">
        <f t="array" aca="1" ref="K50" ca="1">_FV(Table2[[#This Row],[City]],"Country/region",TRUE)</f>
        <v>#VALUE!</v>
      </c>
      <c r="L50">
        <f>Table2[[#This Row],[Quantity]]*Table2[[#This Row],[Price]]</f>
        <v>2009.8999999999999</v>
      </c>
    </row>
    <row r="51" spans="2:12" x14ac:dyDescent="0.3">
      <c r="B51" s="3">
        <v>10502</v>
      </c>
      <c r="C51" s="4">
        <v>44882</v>
      </c>
      <c r="D51" t="s">
        <v>9</v>
      </c>
      <c r="E51" s="3">
        <v>3.49</v>
      </c>
      <c r="F51" s="3" t="s">
        <v>22</v>
      </c>
      <c r="G51" s="3" t="s">
        <v>16</v>
      </c>
      <c r="H51" t="s">
        <v>20</v>
      </c>
      <c r="I51">
        <v>631</v>
      </c>
      <c r="J51" t="e" vm="3">
        <v>#VALUE!</v>
      </c>
      <c r="K51" t="e" cm="1" vm="4">
        <f t="array" aca="1" ref="K51" ca="1">_FV(Table2[[#This Row],[City]],"Country/region",TRUE)</f>
        <v>#VALUE!</v>
      </c>
      <c r="L51">
        <f>Table2[[#This Row],[Quantity]]*Table2[[#This Row],[Price]]</f>
        <v>2202.19</v>
      </c>
    </row>
    <row r="52" spans="2:12" x14ac:dyDescent="0.3">
      <c r="B52" s="3">
        <v>10503</v>
      </c>
      <c r="C52" s="4">
        <v>44882</v>
      </c>
      <c r="D52" t="s">
        <v>12</v>
      </c>
      <c r="E52" s="3">
        <v>2.95</v>
      </c>
      <c r="F52" s="3" t="s">
        <v>22</v>
      </c>
      <c r="G52" s="3" t="s">
        <v>16</v>
      </c>
      <c r="H52" t="s">
        <v>20</v>
      </c>
      <c r="I52">
        <v>678</v>
      </c>
      <c r="J52" t="e" vm="3">
        <v>#VALUE!</v>
      </c>
      <c r="K52" t="e" cm="1" vm="4">
        <f t="array" aca="1" ref="K52" ca="1">_FV(Table2[[#This Row],[City]],"Country/region",TRUE)</f>
        <v>#VALUE!</v>
      </c>
      <c r="L52">
        <f>Table2[[#This Row],[Quantity]]*Table2[[#This Row],[Price]]</f>
        <v>2000.1000000000001</v>
      </c>
    </row>
    <row r="53" spans="2:12" x14ac:dyDescent="0.3">
      <c r="B53" s="3">
        <v>10504</v>
      </c>
      <c r="C53" s="4">
        <v>44882</v>
      </c>
      <c r="D53" t="s">
        <v>13</v>
      </c>
      <c r="E53" s="3">
        <v>4.99</v>
      </c>
      <c r="F53" s="3" t="s">
        <v>22</v>
      </c>
      <c r="G53" s="3" t="s">
        <v>16</v>
      </c>
      <c r="H53" t="s">
        <v>20</v>
      </c>
      <c r="I53">
        <v>201</v>
      </c>
      <c r="J53" t="e" vm="3">
        <v>#VALUE!</v>
      </c>
      <c r="K53" t="e" cm="1" vm="4">
        <f t="array" aca="1" ref="K53" ca="1">_FV(Table2[[#This Row],[City]],"Country/region",TRUE)</f>
        <v>#VALUE!</v>
      </c>
      <c r="L53">
        <f>Table2[[#This Row],[Quantity]]*Table2[[#This Row],[Price]]</f>
        <v>1002.99</v>
      </c>
    </row>
    <row r="54" spans="2:12" x14ac:dyDescent="0.3">
      <c r="B54" s="3">
        <v>10505</v>
      </c>
      <c r="C54" s="4">
        <v>44883</v>
      </c>
      <c r="D54" t="s">
        <v>15</v>
      </c>
      <c r="E54" s="3">
        <v>12.99</v>
      </c>
      <c r="F54" s="3" t="s">
        <v>22</v>
      </c>
      <c r="G54" s="3" t="s">
        <v>16</v>
      </c>
      <c r="H54" t="s">
        <v>20</v>
      </c>
      <c r="I54">
        <v>539</v>
      </c>
      <c r="J54" t="e" vm="3">
        <v>#VALUE!</v>
      </c>
      <c r="K54" t="e" cm="1" vm="4">
        <f t="array" aca="1" ref="K54" ca="1">_FV(Table2[[#This Row],[City]],"Country/region",TRUE)</f>
        <v>#VALUE!</v>
      </c>
      <c r="L54">
        <f>Table2[[#This Row],[Quantity]]*Table2[[#This Row],[Price]]</f>
        <v>7001.61</v>
      </c>
    </row>
    <row r="55" spans="2:12" x14ac:dyDescent="0.3">
      <c r="B55" s="3">
        <v>10506</v>
      </c>
      <c r="C55" s="4">
        <v>44883</v>
      </c>
      <c r="D55" t="s">
        <v>18</v>
      </c>
      <c r="E55" s="3">
        <v>9.9499999999999993</v>
      </c>
      <c r="F55" s="3" t="s">
        <v>22</v>
      </c>
      <c r="G55" s="3" t="s">
        <v>16</v>
      </c>
      <c r="H55" t="s">
        <v>20</v>
      </c>
      <c r="I55">
        <v>202</v>
      </c>
      <c r="J55" t="e" vm="3">
        <v>#VALUE!</v>
      </c>
      <c r="K55" t="e" cm="1" vm="4">
        <f t="array" aca="1" ref="K55" ca="1">_FV(Table2[[#This Row],[City]],"Country/region",TRUE)</f>
        <v>#VALUE!</v>
      </c>
      <c r="L55">
        <f>Table2[[#This Row],[Quantity]]*Table2[[#This Row],[Price]]</f>
        <v>2009.8999999999999</v>
      </c>
    </row>
    <row r="56" spans="2:12" x14ac:dyDescent="0.3">
      <c r="B56" s="3">
        <v>10507</v>
      </c>
      <c r="C56" s="4">
        <v>44883</v>
      </c>
      <c r="D56" t="s">
        <v>9</v>
      </c>
      <c r="E56" s="3">
        <v>3.49</v>
      </c>
      <c r="F56" s="3" t="s">
        <v>22</v>
      </c>
      <c r="G56" s="3" t="s">
        <v>16</v>
      </c>
      <c r="H56" t="s">
        <v>20</v>
      </c>
      <c r="I56">
        <v>688</v>
      </c>
      <c r="J56" t="e" vm="3">
        <v>#VALUE!</v>
      </c>
      <c r="K56" t="e" cm="1" vm="4">
        <f t="array" aca="1" ref="K56" ca="1">_FV(Table2[[#This Row],[City]],"Country/region",TRUE)</f>
        <v>#VALUE!</v>
      </c>
      <c r="L56">
        <f>Table2[[#This Row],[Quantity]]*Table2[[#This Row],[Price]]</f>
        <v>2401.1200000000003</v>
      </c>
    </row>
    <row r="57" spans="2:12" x14ac:dyDescent="0.3">
      <c r="B57" s="3">
        <v>10508</v>
      </c>
      <c r="C57" s="4">
        <v>44883</v>
      </c>
      <c r="D57" t="s">
        <v>12</v>
      </c>
      <c r="E57" s="3">
        <v>2.95</v>
      </c>
      <c r="F57" s="3" t="s">
        <v>22</v>
      </c>
      <c r="G57" s="3" t="s">
        <v>16</v>
      </c>
      <c r="H57" t="s">
        <v>20</v>
      </c>
      <c r="I57">
        <v>678</v>
      </c>
      <c r="J57" t="e" vm="3">
        <v>#VALUE!</v>
      </c>
      <c r="K57" t="e" cm="1" vm="4">
        <f t="array" aca="1" ref="K57" ca="1">_FV(Table2[[#This Row],[City]],"Country/region",TRUE)</f>
        <v>#VALUE!</v>
      </c>
      <c r="L57">
        <f>Table2[[#This Row],[Quantity]]*Table2[[#This Row],[Price]]</f>
        <v>2000.1000000000001</v>
      </c>
    </row>
    <row r="58" spans="2:12" x14ac:dyDescent="0.3">
      <c r="B58" s="3">
        <v>10509</v>
      </c>
      <c r="C58" s="4">
        <v>44883</v>
      </c>
      <c r="D58" t="s">
        <v>13</v>
      </c>
      <c r="E58" s="3">
        <v>4.99</v>
      </c>
      <c r="F58" s="3" t="s">
        <v>22</v>
      </c>
      <c r="G58" s="3" t="s">
        <v>16</v>
      </c>
      <c r="H58" t="s">
        <v>20</v>
      </c>
      <c r="I58">
        <v>201</v>
      </c>
      <c r="J58" t="e" vm="3">
        <v>#VALUE!</v>
      </c>
      <c r="K58" t="e" cm="1" vm="4">
        <f t="array" aca="1" ref="K58" ca="1">_FV(Table2[[#This Row],[City]],"Country/region",TRUE)</f>
        <v>#VALUE!</v>
      </c>
      <c r="L58">
        <f>Table2[[#This Row],[Quantity]]*Table2[[#This Row],[Price]]</f>
        <v>1002.99</v>
      </c>
    </row>
    <row r="59" spans="2:12" x14ac:dyDescent="0.3">
      <c r="B59" s="3">
        <v>10510</v>
      </c>
      <c r="C59" s="4">
        <v>44884</v>
      </c>
      <c r="D59" t="s">
        <v>15</v>
      </c>
      <c r="E59" s="3">
        <v>12.99</v>
      </c>
      <c r="F59" s="3" t="s">
        <v>22</v>
      </c>
      <c r="G59" s="3" t="s">
        <v>16</v>
      </c>
      <c r="H59" t="s">
        <v>20</v>
      </c>
      <c r="I59">
        <v>509</v>
      </c>
      <c r="J59" t="e" vm="3">
        <v>#VALUE!</v>
      </c>
      <c r="K59" t="e" cm="1" vm="4">
        <f t="array" aca="1" ref="K59" ca="1">_FV(Table2[[#This Row],[City]],"Country/region",TRUE)</f>
        <v>#VALUE!</v>
      </c>
      <c r="L59">
        <f>Table2[[#This Row],[Quantity]]*Table2[[#This Row],[Price]]</f>
        <v>6611.91</v>
      </c>
    </row>
    <row r="60" spans="2:12" x14ac:dyDescent="0.3">
      <c r="B60" s="3">
        <v>10511</v>
      </c>
      <c r="C60" s="4">
        <v>44884</v>
      </c>
      <c r="D60" t="s">
        <v>18</v>
      </c>
      <c r="E60" s="3">
        <v>9.9499999999999993</v>
      </c>
      <c r="F60" s="3" t="s">
        <v>22</v>
      </c>
      <c r="G60" s="3" t="s">
        <v>16</v>
      </c>
      <c r="H60" t="s">
        <v>21</v>
      </c>
      <c r="I60">
        <v>202</v>
      </c>
      <c r="J60" t="e" vm="5">
        <v>#VALUE!</v>
      </c>
      <c r="K60" t="e" cm="1" vm="6">
        <f t="array" aca="1" ref="K60" ca="1">_FV(Table2[[#This Row],[City]],"Country/region",TRUE)</f>
        <v>#VALUE!</v>
      </c>
      <c r="L60">
        <f>Table2[[#This Row],[Quantity]]*Table2[[#This Row],[Price]]</f>
        <v>2009.8999999999999</v>
      </c>
    </row>
    <row r="61" spans="2:12" x14ac:dyDescent="0.3">
      <c r="B61" s="3">
        <v>10512</v>
      </c>
      <c r="C61" s="4">
        <v>44884</v>
      </c>
      <c r="D61" t="s">
        <v>9</v>
      </c>
      <c r="E61" s="3">
        <v>3.49</v>
      </c>
      <c r="F61" s="3" t="s">
        <v>22</v>
      </c>
      <c r="G61" s="3" t="s">
        <v>16</v>
      </c>
      <c r="H61" t="s">
        <v>21</v>
      </c>
      <c r="I61">
        <v>688</v>
      </c>
      <c r="J61" t="e" vm="5">
        <v>#VALUE!</v>
      </c>
      <c r="K61" t="e" cm="1" vm="6">
        <f t="array" aca="1" ref="K61" ca="1">_FV(Table2[[#This Row],[City]],"Country/region",TRUE)</f>
        <v>#VALUE!</v>
      </c>
      <c r="L61">
        <f>Table2[[#This Row],[Quantity]]*Table2[[#This Row],[Price]]</f>
        <v>2401.1200000000003</v>
      </c>
    </row>
    <row r="62" spans="2:12" x14ac:dyDescent="0.3">
      <c r="B62" s="3">
        <v>10513</v>
      </c>
      <c r="C62" s="4">
        <v>44884</v>
      </c>
      <c r="D62" t="s">
        <v>12</v>
      </c>
      <c r="E62" s="3">
        <v>2.95</v>
      </c>
      <c r="F62" s="3" t="s">
        <v>22</v>
      </c>
      <c r="G62" s="3" t="s">
        <v>23</v>
      </c>
      <c r="H62" t="s">
        <v>21</v>
      </c>
      <c r="I62">
        <v>678</v>
      </c>
      <c r="J62" t="e" vm="5">
        <v>#VALUE!</v>
      </c>
      <c r="K62" t="e" cm="1" vm="6">
        <f t="array" aca="1" ref="K62" ca="1">_FV(Table2[[#This Row],[City]],"Country/region",TRUE)</f>
        <v>#VALUE!</v>
      </c>
      <c r="L62">
        <f>Table2[[#This Row],[Quantity]]*Table2[[#This Row],[Price]]</f>
        <v>2000.1000000000001</v>
      </c>
    </row>
    <row r="63" spans="2:12" x14ac:dyDescent="0.3">
      <c r="B63" s="3">
        <v>10514</v>
      </c>
      <c r="C63" s="4">
        <v>44884</v>
      </c>
      <c r="D63" t="s">
        <v>13</v>
      </c>
      <c r="E63" s="3">
        <v>4.99</v>
      </c>
      <c r="F63" s="3" t="s">
        <v>22</v>
      </c>
      <c r="G63" s="3" t="s">
        <v>23</v>
      </c>
      <c r="H63" t="s">
        <v>21</v>
      </c>
      <c r="I63">
        <v>201</v>
      </c>
      <c r="J63" t="e" vm="5">
        <v>#VALUE!</v>
      </c>
      <c r="K63" t="e" cm="1" vm="6">
        <f t="array" aca="1" ref="K63" ca="1">_FV(Table2[[#This Row],[City]],"Country/region",TRUE)</f>
        <v>#VALUE!</v>
      </c>
      <c r="L63">
        <f>Table2[[#This Row],[Quantity]]*Table2[[#This Row],[Price]]</f>
        <v>1002.99</v>
      </c>
    </row>
    <row r="64" spans="2:12" x14ac:dyDescent="0.3">
      <c r="B64" s="3">
        <v>10515</v>
      </c>
      <c r="C64" s="4">
        <v>44885</v>
      </c>
      <c r="D64" t="s">
        <v>15</v>
      </c>
      <c r="E64" s="3">
        <v>12.99</v>
      </c>
      <c r="F64" s="3" t="s">
        <v>22</v>
      </c>
      <c r="G64" s="3" t="s">
        <v>23</v>
      </c>
      <c r="H64" t="s">
        <v>21</v>
      </c>
      <c r="I64">
        <v>478</v>
      </c>
      <c r="J64" t="e" vm="5">
        <v>#VALUE!</v>
      </c>
      <c r="K64" t="e" cm="1" vm="6">
        <f t="array" aca="1" ref="K64" ca="1">_FV(Table2[[#This Row],[City]],"Country/region",TRUE)</f>
        <v>#VALUE!</v>
      </c>
      <c r="L64">
        <f>Table2[[#This Row],[Quantity]]*Table2[[#This Row],[Price]]</f>
        <v>6209.22</v>
      </c>
    </row>
    <row r="65" spans="2:12" x14ac:dyDescent="0.3">
      <c r="B65" s="3">
        <v>10516</v>
      </c>
      <c r="C65" s="4">
        <v>44885</v>
      </c>
      <c r="D65" t="s">
        <v>18</v>
      </c>
      <c r="E65" s="3">
        <v>9.9499999999999993</v>
      </c>
      <c r="F65" s="3" t="s">
        <v>22</v>
      </c>
      <c r="G65" s="3" t="s">
        <v>23</v>
      </c>
      <c r="H65" t="s">
        <v>21</v>
      </c>
      <c r="I65">
        <v>202</v>
      </c>
      <c r="J65" t="e" vm="5">
        <v>#VALUE!</v>
      </c>
      <c r="K65" t="e" cm="1" vm="6">
        <f t="array" aca="1" ref="K65" ca="1">_FV(Table2[[#This Row],[City]],"Country/region",TRUE)</f>
        <v>#VALUE!</v>
      </c>
      <c r="L65">
        <f>Table2[[#This Row],[Quantity]]*Table2[[#This Row],[Price]]</f>
        <v>2009.8999999999999</v>
      </c>
    </row>
    <row r="66" spans="2:12" x14ac:dyDescent="0.3">
      <c r="B66" s="3">
        <v>10483</v>
      </c>
      <c r="C66" s="4">
        <v>44878</v>
      </c>
      <c r="D66" t="s">
        <v>12</v>
      </c>
      <c r="E66" s="3">
        <v>2.95</v>
      </c>
      <c r="F66" s="3" t="s">
        <v>14</v>
      </c>
      <c r="G66" s="3" t="s">
        <v>16</v>
      </c>
      <c r="H66" t="s">
        <v>21</v>
      </c>
      <c r="I66">
        <v>678</v>
      </c>
      <c r="J66" t="e" vm="5">
        <v>#VALUE!</v>
      </c>
      <c r="K66" t="e" cm="1" vm="6">
        <f t="array" aca="1" ref="K66" ca="1">_FV(Table2[[#This Row],[City]],"Country/region",TRUE)</f>
        <v>#VALUE!</v>
      </c>
      <c r="L66">
        <f>Table2[[#This Row],[Quantity]]*Table2[[#This Row],[Price]]</f>
        <v>2000.1000000000001</v>
      </c>
    </row>
    <row r="67" spans="2:12" x14ac:dyDescent="0.3">
      <c r="B67" s="3">
        <v>10484</v>
      </c>
      <c r="C67" s="4">
        <v>44878</v>
      </c>
      <c r="D67" t="s">
        <v>13</v>
      </c>
      <c r="E67" s="3">
        <v>4.99</v>
      </c>
      <c r="F67" s="3" t="s">
        <v>14</v>
      </c>
      <c r="G67" s="3" t="s">
        <v>16</v>
      </c>
      <c r="H67" t="s">
        <v>21</v>
      </c>
      <c r="I67">
        <v>201</v>
      </c>
      <c r="J67" t="e" vm="5">
        <v>#VALUE!</v>
      </c>
      <c r="K67" t="e" cm="1" vm="6">
        <f t="array" aca="1" ref="K67" ca="1">_FV(Table2[[#This Row],[City]],"Country/region",TRUE)</f>
        <v>#VALUE!</v>
      </c>
      <c r="L67">
        <f>Table2[[#This Row],[Quantity]]*Table2[[#This Row],[Price]]</f>
        <v>1002.99</v>
      </c>
    </row>
    <row r="68" spans="2:12" x14ac:dyDescent="0.3">
      <c r="B68" s="3">
        <v>10485</v>
      </c>
      <c r="C68" s="4">
        <v>44879</v>
      </c>
      <c r="D68" t="s">
        <v>15</v>
      </c>
      <c r="E68" s="3">
        <v>12.99</v>
      </c>
      <c r="F68" s="3" t="s">
        <v>14</v>
      </c>
      <c r="G68" s="3" t="s">
        <v>16</v>
      </c>
      <c r="H68" t="s">
        <v>21</v>
      </c>
      <c r="I68">
        <v>524</v>
      </c>
      <c r="J68" t="e" vm="5">
        <v>#VALUE!</v>
      </c>
      <c r="K68" t="e" cm="1" vm="6">
        <f t="array" aca="1" ref="K68" ca="1">_FV(Table2[[#This Row],[City]],"Country/region",TRUE)</f>
        <v>#VALUE!</v>
      </c>
      <c r="L68">
        <f>Table2[[#This Row],[Quantity]]*Table2[[#This Row],[Price]]</f>
        <v>6806.76</v>
      </c>
    </row>
    <row r="69" spans="2:12" x14ac:dyDescent="0.3">
      <c r="B69" s="3">
        <v>10520</v>
      </c>
      <c r="C69" s="4">
        <v>44886</v>
      </c>
      <c r="D69" t="s">
        <v>15</v>
      </c>
      <c r="E69" s="3">
        <v>12.99</v>
      </c>
      <c r="F69" s="3" t="s">
        <v>22</v>
      </c>
      <c r="G69" s="3" t="s">
        <v>23</v>
      </c>
      <c r="H69" t="s">
        <v>19</v>
      </c>
      <c r="I69">
        <v>493</v>
      </c>
      <c r="J69" t="e" vm="8">
        <v>#VALUE!</v>
      </c>
      <c r="K69" t="e" cm="1" vm="2">
        <f t="array" aca="1" ref="K69" ca="1">_FV(Table2[[#This Row],[City]],"Country/region",TRUE)</f>
        <v>#VALUE!</v>
      </c>
      <c r="L69">
        <f>Table2[[#This Row],[Quantity]]*Table2[[#This Row],[Price]]</f>
        <v>6404.07</v>
      </c>
    </row>
    <row r="70" spans="2:12" x14ac:dyDescent="0.3">
      <c r="B70" s="3">
        <v>10521</v>
      </c>
      <c r="C70" s="4">
        <v>44886</v>
      </c>
      <c r="D70" t="s">
        <v>18</v>
      </c>
      <c r="E70" s="3">
        <v>9.9499999999999993</v>
      </c>
      <c r="F70" s="3" t="s">
        <v>22</v>
      </c>
      <c r="G70" s="3" t="s">
        <v>23</v>
      </c>
      <c r="H70" t="s">
        <v>19</v>
      </c>
      <c r="I70">
        <v>202</v>
      </c>
      <c r="J70" t="e" vm="8">
        <v>#VALUE!</v>
      </c>
      <c r="K70" t="e" cm="1" vm="2">
        <f t="array" aca="1" ref="K70" ca="1">_FV(Table2[[#This Row],[City]],"Country/region",TRUE)</f>
        <v>#VALUE!</v>
      </c>
      <c r="L70">
        <f>Table2[[#This Row],[Quantity]]*Table2[[#This Row],[Price]]</f>
        <v>2009.8999999999999</v>
      </c>
    </row>
    <row r="71" spans="2:12" x14ac:dyDescent="0.3">
      <c r="B71" s="3">
        <v>10522</v>
      </c>
      <c r="C71" s="4">
        <v>44886</v>
      </c>
      <c r="D71" t="s">
        <v>9</v>
      </c>
      <c r="E71" s="3">
        <v>3.49</v>
      </c>
      <c r="F71" s="3" t="s">
        <v>22</v>
      </c>
      <c r="G71" s="3" t="s">
        <v>23</v>
      </c>
      <c r="H71" t="s">
        <v>19</v>
      </c>
      <c r="I71">
        <v>688</v>
      </c>
      <c r="J71" t="e" vm="8">
        <v>#VALUE!</v>
      </c>
      <c r="K71" t="e" cm="1" vm="2">
        <f t="array" aca="1" ref="K71" ca="1">_FV(Table2[[#This Row],[City]],"Country/region",TRUE)</f>
        <v>#VALUE!</v>
      </c>
      <c r="L71">
        <f>Table2[[#This Row],[Quantity]]*Table2[[#This Row],[Price]]</f>
        <v>2401.1200000000003</v>
      </c>
    </row>
    <row r="72" spans="2:12" x14ac:dyDescent="0.3">
      <c r="B72" s="3">
        <v>10523</v>
      </c>
      <c r="C72" s="4">
        <v>44886</v>
      </c>
      <c r="D72" t="s">
        <v>12</v>
      </c>
      <c r="E72" s="3">
        <v>2.95</v>
      </c>
      <c r="F72" s="3" t="s">
        <v>22</v>
      </c>
      <c r="G72" s="3" t="s">
        <v>23</v>
      </c>
      <c r="H72" t="s">
        <v>19</v>
      </c>
      <c r="I72">
        <v>746</v>
      </c>
      <c r="J72" t="e" vm="8">
        <v>#VALUE!</v>
      </c>
      <c r="K72" t="e" cm="1" vm="2">
        <f t="array" aca="1" ref="K72" ca="1">_FV(Table2[[#This Row],[City]],"Country/region",TRUE)</f>
        <v>#VALUE!</v>
      </c>
      <c r="L72">
        <f>Table2[[#This Row],[Quantity]]*Table2[[#This Row],[Price]]</f>
        <v>2200.7000000000003</v>
      </c>
    </row>
    <row r="73" spans="2:12" x14ac:dyDescent="0.3">
      <c r="B73" s="3">
        <v>10524</v>
      </c>
      <c r="C73" s="4">
        <v>44886</v>
      </c>
      <c r="D73" t="s">
        <v>13</v>
      </c>
      <c r="E73" s="3">
        <v>4.99</v>
      </c>
      <c r="F73" s="3" t="s">
        <v>22</v>
      </c>
      <c r="G73" s="3" t="s">
        <v>23</v>
      </c>
      <c r="H73" t="s">
        <v>19</v>
      </c>
      <c r="I73">
        <v>201</v>
      </c>
      <c r="J73" t="e" vm="8">
        <v>#VALUE!</v>
      </c>
      <c r="K73" t="e" cm="1" vm="2">
        <f t="array" aca="1" ref="K73" ca="1">_FV(Table2[[#This Row],[City]],"Country/region",TRUE)</f>
        <v>#VALUE!</v>
      </c>
      <c r="L73">
        <f>Table2[[#This Row],[Quantity]]*Table2[[#This Row],[Price]]</f>
        <v>1002.99</v>
      </c>
    </row>
    <row r="74" spans="2:12" x14ac:dyDescent="0.3">
      <c r="B74" s="3">
        <v>10525</v>
      </c>
      <c r="C74" s="4">
        <v>44887</v>
      </c>
      <c r="D74" t="s">
        <v>15</v>
      </c>
      <c r="E74" s="3">
        <v>12.99</v>
      </c>
      <c r="F74" s="3" t="s">
        <v>22</v>
      </c>
      <c r="G74" s="3" t="s">
        <v>23</v>
      </c>
      <c r="H74" t="s">
        <v>19</v>
      </c>
      <c r="I74">
        <v>462</v>
      </c>
      <c r="J74" t="e" vm="8">
        <v>#VALUE!</v>
      </c>
      <c r="K74" t="e" cm="1" vm="2">
        <f t="array" aca="1" ref="K74" ca="1">_FV(Table2[[#This Row],[City]],"Country/region",TRUE)</f>
        <v>#VALUE!</v>
      </c>
      <c r="L74">
        <f>Table2[[#This Row],[Quantity]]*Table2[[#This Row],[Price]]</f>
        <v>6001.38</v>
      </c>
    </row>
    <row r="75" spans="2:12" x14ac:dyDescent="0.3">
      <c r="B75" s="3">
        <v>10526</v>
      </c>
      <c r="C75" s="4">
        <v>44887</v>
      </c>
      <c r="D75" t="s">
        <v>18</v>
      </c>
      <c r="E75" s="3">
        <v>9.9499999999999993</v>
      </c>
      <c r="F75" s="3" t="s">
        <v>22</v>
      </c>
      <c r="G75" s="3" t="s">
        <v>23</v>
      </c>
      <c r="H75" t="s">
        <v>19</v>
      </c>
      <c r="I75">
        <v>202</v>
      </c>
      <c r="J75" t="e" vm="8">
        <v>#VALUE!</v>
      </c>
      <c r="K75" t="e" cm="1" vm="2">
        <f t="array" aca="1" ref="K75" ca="1">_FV(Table2[[#This Row],[City]],"Country/region",TRUE)</f>
        <v>#VALUE!</v>
      </c>
      <c r="L75">
        <f>Table2[[#This Row],[Quantity]]*Table2[[#This Row],[Price]]</f>
        <v>2009.8999999999999</v>
      </c>
    </row>
    <row r="76" spans="2:12" x14ac:dyDescent="0.3">
      <c r="B76" s="3">
        <v>10527</v>
      </c>
      <c r="C76" s="4">
        <v>44887</v>
      </c>
      <c r="D76" t="s">
        <v>9</v>
      </c>
      <c r="E76" s="3">
        <v>3.49</v>
      </c>
      <c r="F76" s="3" t="s">
        <v>22</v>
      </c>
      <c r="G76" s="3" t="s">
        <v>23</v>
      </c>
      <c r="H76" t="s">
        <v>19</v>
      </c>
      <c r="I76">
        <v>688</v>
      </c>
      <c r="J76" t="e" vm="8">
        <v>#VALUE!</v>
      </c>
      <c r="K76" t="e" cm="1" vm="2">
        <f t="array" aca="1" ref="K76" ca="1">_FV(Table2[[#This Row],[City]],"Country/region",TRUE)</f>
        <v>#VALUE!</v>
      </c>
      <c r="L76">
        <f>Table2[[#This Row],[Quantity]]*Table2[[#This Row],[Price]]</f>
        <v>2401.1200000000003</v>
      </c>
    </row>
    <row r="77" spans="2:12" x14ac:dyDescent="0.3">
      <c r="B77" s="3">
        <v>10528</v>
      </c>
      <c r="C77" s="4">
        <v>44887</v>
      </c>
      <c r="D77" t="s">
        <v>12</v>
      </c>
      <c r="E77" s="3">
        <v>2.95</v>
      </c>
      <c r="F77" s="3" t="s">
        <v>22</v>
      </c>
      <c r="G77" s="3" t="s">
        <v>23</v>
      </c>
      <c r="H77" t="s">
        <v>19</v>
      </c>
      <c r="I77">
        <v>746</v>
      </c>
      <c r="J77" t="e" vm="8">
        <v>#VALUE!</v>
      </c>
      <c r="K77" t="e" cm="1" vm="2">
        <f t="array" aca="1" ref="K77" ca="1">_FV(Table2[[#This Row],[City]],"Country/region",TRUE)</f>
        <v>#VALUE!</v>
      </c>
      <c r="L77">
        <f>Table2[[#This Row],[Quantity]]*Table2[[#This Row],[Price]]</f>
        <v>2200.7000000000003</v>
      </c>
    </row>
    <row r="78" spans="2:12" x14ac:dyDescent="0.3">
      <c r="B78" s="3">
        <v>10529</v>
      </c>
      <c r="C78" s="4">
        <v>44887</v>
      </c>
      <c r="D78" t="s">
        <v>13</v>
      </c>
      <c r="E78" s="3">
        <v>4.99</v>
      </c>
      <c r="F78" s="3" t="s">
        <v>22</v>
      </c>
      <c r="G78" s="3" t="s">
        <v>23</v>
      </c>
      <c r="H78" t="s">
        <v>19</v>
      </c>
      <c r="I78">
        <v>201</v>
      </c>
      <c r="J78" t="e" vm="8">
        <v>#VALUE!</v>
      </c>
      <c r="K78" t="e" cm="1" vm="2">
        <f t="array" aca="1" ref="K78" ca="1">_FV(Table2[[#This Row],[City]],"Country/region",TRUE)</f>
        <v>#VALUE!</v>
      </c>
      <c r="L78">
        <f>Table2[[#This Row],[Quantity]]*Table2[[#This Row],[Price]]</f>
        <v>1002.99</v>
      </c>
    </row>
    <row r="79" spans="2:12" x14ac:dyDescent="0.3">
      <c r="B79" s="3">
        <v>10530</v>
      </c>
      <c r="C79" s="4">
        <v>44888</v>
      </c>
      <c r="D79" t="s">
        <v>15</v>
      </c>
      <c r="E79" s="3">
        <v>12.99</v>
      </c>
      <c r="F79" s="3" t="s">
        <v>22</v>
      </c>
      <c r="G79" s="3" t="s">
        <v>23</v>
      </c>
      <c r="H79" t="s">
        <v>19</v>
      </c>
      <c r="I79">
        <v>478</v>
      </c>
      <c r="J79" t="e" vm="8">
        <v>#VALUE!</v>
      </c>
      <c r="K79" t="e" cm="1" vm="2">
        <f t="array" aca="1" ref="K79" ca="1">_FV(Table2[[#This Row],[City]],"Country/region",TRUE)</f>
        <v>#VALUE!</v>
      </c>
      <c r="L79">
        <f>Table2[[#This Row],[Quantity]]*Table2[[#This Row],[Price]]</f>
        <v>6209.22</v>
      </c>
    </row>
    <row r="80" spans="2:12" x14ac:dyDescent="0.3">
      <c r="B80" s="3">
        <v>10531</v>
      </c>
      <c r="C80" s="4">
        <v>44888</v>
      </c>
      <c r="D80" t="s">
        <v>18</v>
      </c>
      <c r="E80" s="3">
        <v>9.9499999999999993</v>
      </c>
      <c r="F80" s="3" t="s">
        <v>22</v>
      </c>
      <c r="G80" s="3" t="s">
        <v>23</v>
      </c>
      <c r="H80" t="s">
        <v>19</v>
      </c>
      <c r="I80">
        <v>202</v>
      </c>
      <c r="J80" t="e" vm="8">
        <v>#VALUE!</v>
      </c>
      <c r="K80" t="e" cm="1" vm="2">
        <f t="array" aca="1" ref="K80" ca="1">_FV(Table2[[#This Row],[City]],"Country/region",TRUE)</f>
        <v>#VALUE!</v>
      </c>
      <c r="L80">
        <f>Table2[[#This Row],[Quantity]]*Table2[[#This Row],[Price]]</f>
        <v>2009.8999999999999</v>
      </c>
    </row>
    <row r="81" spans="2:12" x14ac:dyDescent="0.3">
      <c r="B81" s="3">
        <v>10532</v>
      </c>
      <c r="C81" s="4">
        <v>44888</v>
      </c>
      <c r="D81" t="s">
        <v>9</v>
      </c>
      <c r="E81" s="3">
        <v>3.49</v>
      </c>
      <c r="F81" s="3" t="s">
        <v>22</v>
      </c>
      <c r="G81" s="3" t="s">
        <v>23</v>
      </c>
      <c r="H81" t="s">
        <v>21</v>
      </c>
      <c r="I81">
        <v>688</v>
      </c>
      <c r="J81" t="e" vm="5">
        <v>#VALUE!</v>
      </c>
      <c r="K81" t="e" cm="1" vm="6">
        <f t="array" aca="1" ref="K81" ca="1">_FV(Table2[[#This Row],[City]],"Country/region",TRUE)</f>
        <v>#VALUE!</v>
      </c>
      <c r="L81">
        <f>Table2[[#This Row],[Quantity]]*Table2[[#This Row],[Price]]</f>
        <v>2401.1200000000003</v>
      </c>
    </row>
    <row r="82" spans="2:12" x14ac:dyDescent="0.3">
      <c r="B82" s="3">
        <v>10533</v>
      </c>
      <c r="C82" s="4">
        <v>44888</v>
      </c>
      <c r="D82" t="s">
        <v>12</v>
      </c>
      <c r="E82" s="3">
        <v>2.95</v>
      </c>
      <c r="F82" s="3" t="s">
        <v>22</v>
      </c>
      <c r="G82" s="3" t="s">
        <v>23</v>
      </c>
      <c r="H82" t="s">
        <v>21</v>
      </c>
      <c r="I82">
        <v>746</v>
      </c>
      <c r="J82" t="e" vm="5">
        <v>#VALUE!</v>
      </c>
      <c r="K82" t="e" cm="1" vm="6">
        <f t="array" aca="1" ref="K82" ca="1">_FV(Table2[[#This Row],[City]],"Country/region",TRUE)</f>
        <v>#VALUE!</v>
      </c>
      <c r="L82">
        <f>Table2[[#This Row],[Quantity]]*Table2[[#This Row],[Price]]</f>
        <v>2200.7000000000003</v>
      </c>
    </row>
    <row r="83" spans="2:12" x14ac:dyDescent="0.3">
      <c r="B83" s="3">
        <v>10534</v>
      </c>
      <c r="C83" s="4">
        <v>44888</v>
      </c>
      <c r="D83" t="s">
        <v>13</v>
      </c>
      <c r="E83" s="3">
        <v>4.99</v>
      </c>
      <c r="F83" s="3" t="s">
        <v>22</v>
      </c>
      <c r="G83" s="3" t="s">
        <v>23</v>
      </c>
      <c r="H83" t="s">
        <v>20</v>
      </c>
      <c r="I83">
        <v>201</v>
      </c>
      <c r="J83" t="e" vm="3">
        <v>#VALUE!</v>
      </c>
      <c r="K83" t="e" cm="1" vm="4">
        <f t="array" aca="1" ref="K83" ca="1">_FV(Table2[[#This Row],[City]],"Country/region",TRUE)</f>
        <v>#VALUE!</v>
      </c>
      <c r="L83">
        <f>Table2[[#This Row],[Quantity]]*Table2[[#This Row],[Price]]</f>
        <v>1002.99</v>
      </c>
    </row>
    <row r="84" spans="2:12" x14ac:dyDescent="0.3">
      <c r="B84" s="3">
        <v>10535</v>
      </c>
      <c r="C84" s="4">
        <v>44889</v>
      </c>
      <c r="D84" t="s">
        <v>15</v>
      </c>
      <c r="E84" s="3">
        <v>12.99</v>
      </c>
      <c r="F84" s="3" t="s">
        <v>22</v>
      </c>
      <c r="G84" s="3" t="s">
        <v>16</v>
      </c>
      <c r="H84" t="s">
        <v>20</v>
      </c>
      <c r="I84">
        <v>478</v>
      </c>
      <c r="J84" t="e" vm="3">
        <v>#VALUE!</v>
      </c>
      <c r="K84" t="e" cm="1" vm="4">
        <f t="array" aca="1" ref="K84" ca="1">_FV(Table2[[#This Row],[City]],"Country/region",TRUE)</f>
        <v>#VALUE!</v>
      </c>
      <c r="L84">
        <f>Table2[[#This Row],[Quantity]]*Table2[[#This Row],[Price]]</f>
        <v>6209.22</v>
      </c>
    </row>
    <row r="85" spans="2:12" x14ac:dyDescent="0.3">
      <c r="B85" s="3">
        <v>10536</v>
      </c>
      <c r="C85" s="4">
        <v>44889</v>
      </c>
      <c r="D85" t="s">
        <v>18</v>
      </c>
      <c r="E85" s="3">
        <v>9.9499999999999993</v>
      </c>
      <c r="F85" s="3" t="s">
        <v>22</v>
      </c>
      <c r="G85" s="3" t="s">
        <v>16</v>
      </c>
      <c r="H85" t="s">
        <v>20</v>
      </c>
      <c r="I85">
        <v>202</v>
      </c>
      <c r="J85" t="e" vm="3">
        <v>#VALUE!</v>
      </c>
      <c r="K85" t="e" cm="1" vm="4">
        <f t="array" aca="1" ref="K85" ca="1">_FV(Table2[[#This Row],[City]],"Country/region",TRUE)</f>
        <v>#VALUE!</v>
      </c>
      <c r="L85">
        <f>Table2[[#This Row],[Quantity]]*Table2[[#This Row],[Price]]</f>
        <v>2009.8999999999999</v>
      </c>
    </row>
    <row r="86" spans="2:12" x14ac:dyDescent="0.3">
      <c r="B86" s="3">
        <v>10537</v>
      </c>
      <c r="C86" s="4">
        <v>44889</v>
      </c>
      <c r="D86" t="s">
        <v>9</v>
      </c>
      <c r="E86" s="3">
        <v>3.49</v>
      </c>
      <c r="F86" s="3" t="s">
        <v>22</v>
      </c>
      <c r="G86" s="3" t="s">
        <v>16</v>
      </c>
      <c r="H86" t="s">
        <v>20</v>
      </c>
      <c r="I86">
        <v>631</v>
      </c>
      <c r="J86" t="e" vm="3">
        <v>#VALUE!</v>
      </c>
      <c r="K86" t="e" cm="1" vm="4">
        <f t="array" aca="1" ref="K86" ca="1">_FV(Table2[[#This Row],[City]],"Country/region",TRUE)</f>
        <v>#VALUE!</v>
      </c>
      <c r="L86">
        <f>Table2[[#This Row],[Quantity]]*Table2[[#This Row],[Price]]</f>
        <v>2202.19</v>
      </c>
    </row>
    <row r="87" spans="2:12" x14ac:dyDescent="0.3">
      <c r="B87" s="3">
        <v>10538</v>
      </c>
      <c r="C87" s="4">
        <v>44889</v>
      </c>
      <c r="D87" t="s">
        <v>12</v>
      </c>
      <c r="E87" s="3">
        <v>2.95</v>
      </c>
      <c r="F87" s="3" t="s">
        <v>22</v>
      </c>
      <c r="G87" s="3" t="s">
        <v>16</v>
      </c>
      <c r="H87" t="s">
        <v>20</v>
      </c>
      <c r="I87">
        <v>746</v>
      </c>
      <c r="J87" t="e" vm="3">
        <v>#VALUE!</v>
      </c>
      <c r="K87" t="e" cm="1" vm="4">
        <f t="array" aca="1" ref="K87" ca="1">_FV(Table2[[#This Row],[City]],"Country/region",TRUE)</f>
        <v>#VALUE!</v>
      </c>
      <c r="L87">
        <f>Table2[[#This Row],[Quantity]]*Table2[[#This Row],[Price]]</f>
        <v>2200.7000000000003</v>
      </c>
    </row>
    <row r="88" spans="2:12" x14ac:dyDescent="0.3">
      <c r="B88" s="3">
        <v>10539</v>
      </c>
      <c r="C88" s="4">
        <v>44889</v>
      </c>
      <c r="D88" t="s">
        <v>13</v>
      </c>
      <c r="E88" s="3">
        <v>4.99</v>
      </c>
      <c r="F88" s="3" t="s">
        <v>22</v>
      </c>
      <c r="G88" s="3" t="s">
        <v>16</v>
      </c>
      <c r="H88" t="s">
        <v>20</v>
      </c>
      <c r="I88">
        <v>201</v>
      </c>
      <c r="J88" t="e" vm="3">
        <v>#VALUE!</v>
      </c>
      <c r="K88" t="e" cm="1" vm="4">
        <f t="array" aca="1" ref="K88" ca="1">_FV(Table2[[#This Row],[City]],"Country/region",TRUE)</f>
        <v>#VALUE!</v>
      </c>
      <c r="L88">
        <f>Table2[[#This Row],[Quantity]]*Table2[[#This Row],[Price]]</f>
        <v>1002.99</v>
      </c>
    </row>
    <row r="89" spans="2:12" x14ac:dyDescent="0.3">
      <c r="B89" s="3">
        <v>10540</v>
      </c>
      <c r="C89" s="4">
        <v>44890</v>
      </c>
      <c r="D89" t="s">
        <v>15</v>
      </c>
      <c r="E89" s="3">
        <v>12.99</v>
      </c>
      <c r="F89" s="3" t="s">
        <v>22</v>
      </c>
      <c r="G89" s="3" t="s">
        <v>16</v>
      </c>
      <c r="H89" t="s">
        <v>20</v>
      </c>
      <c r="I89">
        <v>462</v>
      </c>
      <c r="J89" t="e" vm="3">
        <v>#VALUE!</v>
      </c>
      <c r="K89" t="e" cm="1" vm="4">
        <f t="array" aca="1" ref="K89" ca="1">_FV(Table2[[#This Row],[City]],"Country/region",TRUE)</f>
        <v>#VALUE!</v>
      </c>
      <c r="L89">
        <f>Table2[[#This Row],[Quantity]]*Table2[[#This Row],[Price]]</f>
        <v>6001.38</v>
      </c>
    </row>
    <row r="90" spans="2:12" x14ac:dyDescent="0.3">
      <c r="B90" s="3">
        <v>10541</v>
      </c>
      <c r="C90" s="4">
        <v>44890</v>
      </c>
      <c r="D90" t="s">
        <v>18</v>
      </c>
      <c r="E90" s="3">
        <v>9.9499999999999993</v>
      </c>
      <c r="F90" s="3" t="s">
        <v>22</v>
      </c>
      <c r="G90" s="3" t="s">
        <v>16</v>
      </c>
      <c r="H90" t="s">
        <v>24</v>
      </c>
      <c r="I90">
        <v>202</v>
      </c>
      <c r="J90" t="e" vm="1">
        <v>#VALUE!</v>
      </c>
      <c r="K90" t="e" cm="1" vm="2">
        <f t="array" aca="1" ref="K90" ca="1">_FV(Table2[[#This Row],[City]],"Country/region",TRUE)</f>
        <v>#VALUE!</v>
      </c>
      <c r="L90">
        <f>Table2[[#This Row],[Quantity]]*Table2[[#This Row],[Price]]</f>
        <v>2009.8999999999999</v>
      </c>
    </row>
    <row r="91" spans="2:12" x14ac:dyDescent="0.3">
      <c r="B91" s="3">
        <v>10542</v>
      </c>
      <c r="C91" s="4">
        <v>44890</v>
      </c>
      <c r="D91" t="s">
        <v>9</v>
      </c>
      <c r="E91" s="3">
        <v>3.49</v>
      </c>
      <c r="F91" s="3" t="s">
        <v>22</v>
      </c>
      <c r="G91" s="3" t="s">
        <v>16</v>
      </c>
      <c r="H91" t="s">
        <v>24</v>
      </c>
      <c r="I91">
        <v>631</v>
      </c>
      <c r="J91" t="e" vm="1">
        <v>#VALUE!</v>
      </c>
      <c r="K91" t="e" cm="1" vm="2">
        <f t="array" aca="1" ref="K91" ca="1">_FV(Table2[[#This Row],[City]],"Country/region",TRUE)</f>
        <v>#VALUE!</v>
      </c>
      <c r="L91">
        <f>Table2[[#This Row],[Quantity]]*Table2[[#This Row],[Price]]</f>
        <v>2202.19</v>
      </c>
    </row>
    <row r="92" spans="2:12" x14ac:dyDescent="0.3">
      <c r="B92" s="3">
        <v>10543</v>
      </c>
      <c r="C92" s="4">
        <v>44890</v>
      </c>
      <c r="D92" t="s">
        <v>12</v>
      </c>
      <c r="E92" s="3">
        <v>2.95</v>
      </c>
      <c r="F92" s="3" t="s">
        <v>22</v>
      </c>
      <c r="G92" s="3" t="s">
        <v>16</v>
      </c>
      <c r="H92" t="s">
        <v>24</v>
      </c>
      <c r="I92">
        <v>746</v>
      </c>
      <c r="J92" t="e" vm="1">
        <v>#VALUE!</v>
      </c>
      <c r="K92" t="e" cm="1" vm="2">
        <f t="array" aca="1" ref="K92" ca="1">_FV(Table2[[#This Row],[City]],"Country/region",TRUE)</f>
        <v>#VALUE!</v>
      </c>
      <c r="L92">
        <f>Table2[[#This Row],[Quantity]]*Table2[[#This Row],[Price]]</f>
        <v>2200.7000000000003</v>
      </c>
    </row>
    <row r="93" spans="2:12" x14ac:dyDescent="0.3">
      <c r="B93" s="3">
        <v>10544</v>
      </c>
      <c r="C93" s="4">
        <v>44890</v>
      </c>
      <c r="D93" t="s">
        <v>13</v>
      </c>
      <c r="E93" s="3">
        <v>4.99</v>
      </c>
      <c r="F93" s="3" t="s">
        <v>22</v>
      </c>
      <c r="G93" s="3" t="s">
        <v>16</v>
      </c>
      <c r="H93" t="s">
        <v>24</v>
      </c>
      <c r="I93">
        <v>201</v>
      </c>
      <c r="J93" t="e" vm="1">
        <v>#VALUE!</v>
      </c>
      <c r="K93" t="e" cm="1" vm="2">
        <f t="array" aca="1" ref="K93" ca="1">_FV(Table2[[#This Row],[City]],"Country/region",TRUE)</f>
        <v>#VALUE!</v>
      </c>
      <c r="L93">
        <f>Table2[[#This Row],[Quantity]]*Table2[[#This Row],[Price]]</f>
        <v>1002.99</v>
      </c>
    </row>
    <row r="94" spans="2:12" x14ac:dyDescent="0.3">
      <c r="B94" s="3">
        <v>10545</v>
      </c>
      <c r="C94" s="4">
        <v>44891</v>
      </c>
      <c r="D94" t="s">
        <v>15</v>
      </c>
      <c r="E94" s="3">
        <v>12.99</v>
      </c>
      <c r="F94" s="3" t="s">
        <v>22</v>
      </c>
      <c r="G94" s="3" t="s">
        <v>16</v>
      </c>
      <c r="H94" t="s">
        <v>24</v>
      </c>
      <c r="I94">
        <v>447</v>
      </c>
      <c r="J94" t="e" vm="1">
        <v>#VALUE!</v>
      </c>
      <c r="K94" t="e" cm="1" vm="2">
        <f t="array" aca="1" ref="K94" ca="1">_FV(Table2[[#This Row],[City]],"Country/region",TRUE)</f>
        <v>#VALUE!</v>
      </c>
      <c r="L94">
        <f>Table2[[#This Row],[Quantity]]*Table2[[#This Row],[Price]]</f>
        <v>5806.53</v>
      </c>
    </row>
    <row r="95" spans="2:12" x14ac:dyDescent="0.3">
      <c r="B95" s="3">
        <v>10546</v>
      </c>
      <c r="C95" s="4">
        <v>44891</v>
      </c>
      <c r="D95" t="s">
        <v>18</v>
      </c>
      <c r="E95" s="3">
        <v>9.9499999999999993</v>
      </c>
      <c r="F95" s="3" t="s">
        <v>22</v>
      </c>
      <c r="G95" s="3" t="s">
        <v>16</v>
      </c>
      <c r="H95" t="s">
        <v>24</v>
      </c>
      <c r="I95">
        <v>202</v>
      </c>
      <c r="J95" t="e" vm="1">
        <v>#VALUE!</v>
      </c>
      <c r="K95" t="e" cm="1" vm="2">
        <f t="array" aca="1" ref="K95" ca="1">_FV(Table2[[#This Row],[City]],"Country/region",TRUE)</f>
        <v>#VALUE!</v>
      </c>
      <c r="L95">
        <f>Table2[[#This Row],[Quantity]]*Table2[[#This Row],[Price]]</f>
        <v>2009.8999999999999</v>
      </c>
    </row>
    <row r="96" spans="2:12" x14ac:dyDescent="0.3">
      <c r="B96" s="3">
        <v>10547</v>
      </c>
      <c r="C96" s="4">
        <v>44891</v>
      </c>
      <c r="D96" t="s">
        <v>9</v>
      </c>
      <c r="E96" s="3">
        <v>3.49</v>
      </c>
      <c r="F96" s="3" t="s">
        <v>22</v>
      </c>
      <c r="G96" s="3" t="s">
        <v>16</v>
      </c>
      <c r="H96" t="s">
        <v>24</v>
      </c>
      <c r="I96">
        <v>631</v>
      </c>
      <c r="J96" t="e" vm="1">
        <v>#VALUE!</v>
      </c>
      <c r="K96" t="e" cm="1" vm="2">
        <f t="array" aca="1" ref="K96" ca="1">_FV(Table2[[#This Row],[City]],"Country/region",TRUE)</f>
        <v>#VALUE!</v>
      </c>
      <c r="L96">
        <f>Table2[[#This Row],[Quantity]]*Table2[[#This Row],[Price]]</f>
        <v>2202.19</v>
      </c>
    </row>
    <row r="97" spans="2:12" x14ac:dyDescent="0.3">
      <c r="B97" s="3">
        <v>10548</v>
      </c>
      <c r="C97" s="4">
        <v>44891</v>
      </c>
      <c r="D97" t="s">
        <v>12</v>
      </c>
      <c r="E97" s="3">
        <v>2.95</v>
      </c>
      <c r="F97" s="3" t="s">
        <v>22</v>
      </c>
      <c r="G97" s="3" t="s">
        <v>16</v>
      </c>
      <c r="H97" t="s">
        <v>24</v>
      </c>
      <c r="I97">
        <v>746</v>
      </c>
      <c r="J97" t="e" vm="1">
        <v>#VALUE!</v>
      </c>
      <c r="K97" t="e" cm="1" vm="2">
        <f t="array" aca="1" ref="K97" ca="1">_FV(Table2[[#This Row],[City]],"Country/region",TRUE)</f>
        <v>#VALUE!</v>
      </c>
      <c r="L97">
        <f>Table2[[#This Row],[Quantity]]*Table2[[#This Row],[Price]]</f>
        <v>2200.7000000000003</v>
      </c>
    </row>
    <row r="98" spans="2:12" x14ac:dyDescent="0.3">
      <c r="B98" s="3">
        <v>10549</v>
      </c>
      <c r="C98" s="4">
        <v>44891</v>
      </c>
      <c r="D98" t="s">
        <v>13</v>
      </c>
      <c r="E98" s="3">
        <v>4.99</v>
      </c>
      <c r="F98" s="3" t="s">
        <v>22</v>
      </c>
      <c r="G98" s="3" t="s">
        <v>16</v>
      </c>
      <c r="H98" t="s">
        <v>24</v>
      </c>
      <c r="I98">
        <v>201</v>
      </c>
      <c r="J98" t="e" vm="1">
        <v>#VALUE!</v>
      </c>
      <c r="K98" t="e" cm="1" vm="2">
        <f t="array" aca="1" ref="K98" ca="1">_FV(Table2[[#This Row],[City]],"Country/region",TRUE)</f>
        <v>#VALUE!</v>
      </c>
      <c r="L98">
        <f>Table2[[#This Row],[Quantity]]*Table2[[#This Row],[Price]]</f>
        <v>1002.99</v>
      </c>
    </row>
    <row r="99" spans="2:12" x14ac:dyDescent="0.3">
      <c r="B99" s="3">
        <v>10550</v>
      </c>
      <c r="C99" s="4">
        <v>44892</v>
      </c>
      <c r="D99" t="s">
        <v>15</v>
      </c>
      <c r="E99" s="3">
        <v>12.99</v>
      </c>
      <c r="F99" s="3" t="s">
        <v>22</v>
      </c>
      <c r="G99" s="3" t="s">
        <v>16</v>
      </c>
      <c r="H99" t="s">
        <v>24</v>
      </c>
      <c r="I99">
        <v>462</v>
      </c>
      <c r="J99" t="e" vm="1">
        <v>#VALUE!</v>
      </c>
      <c r="K99" t="e" cm="1" vm="2">
        <f t="array" aca="1" ref="K99" ca="1">_FV(Table2[[#This Row],[City]],"Country/region",TRUE)</f>
        <v>#VALUE!</v>
      </c>
      <c r="L99">
        <f>Table2[[#This Row],[Quantity]]*Table2[[#This Row],[Price]]</f>
        <v>6001.38</v>
      </c>
    </row>
    <row r="100" spans="2:12" x14ac:dyDescent="0.3">
      <c r="B100" s="3">
        <v>10551</v>
      </c>
      <c r="C100" s="4">
        <v>44892</v>
      </c>
      <c r="D100" t="s">
        <v>18</v>
      </c>
      <c r="E100" s="3">
        <v>9.9499999999999993</v>
      </c>
      <c r="F100" s="3" t="s">
        <v>22</v>
      </c>
      <c r="G100" s="3" t="s">
        <v>16</v>
      </c>
      <c r="H100" t="s">
        <v>24</v>
      </c>
      <c r="I100">
        <v>202</v>
      </c>
      <c r="J100" t="e" vm="1">
        <v>#VALUE!</v>
      </c>
      <c r="K100" t="e" cm="1" vm="2">
        <f t="array" aca="1" ref="K100" ca="1">_FV(Table2[[#This Row],[City]],"Country/region",TRUE)</f>
        <v>#VALUE!</v>
      </c>
      <c r="L100">
        <f>Table2[[#This Row],[Quantity]]*Table2[[#This Row],[Price]]</f>
        <v>2009.8999999999999</v>
      </c>
    </row>
    <row r="101" spans="2:12" x14ac:dyDescent="0.3">
      <c r="B101" s="3">
        <v>10552</v>
      </c>
      <c r="C101" s="4">
        <v>44892</v>
      </c>
      <c r="D101" t="s">
        <v>9</v>
      </c>
      <c r="E101" s="3">
        <v>3.49</v>
      </c>
      <c r="F101" s="3" t="s">
        <v>10</v>
      </c>
      <c r="G101" s="3" t="s">
        <v>16</v>
      </c>
      <c r="H101" t="s">
        <v>24</v>
      </c>
      <c r="I101">
        <v>631</v>
      </c>
      <c r="J101" t="e" vm="1">
        <v>#VALUE!</v>
      </c>
      <c r="K101" t="e" cm="1" vm="2">
        <f t="array" aca="1" ref="K101" ca="1">_FV(Table2[[#This Row],[City]],"Country/region",TRUE)</f>
        <v>#VALUE!</v>
      </c>
      <c r="L101">
        <f>Table2[[#This Row],[Quantity]]*Table2[[#This Row],[Price]]</f>
        <v>2202.19</v>
      </c>
    </row>
    <row r="102" spans="2:12" x14ac:dyDescent="0.3">
      <c r="B102" s="3">
        <v>10553</v>
      </c>
      <c r="C102" s="4">
        <v>44892</v>
      </c>
      <c r="D102" t="s">
        <v>12</v>
      </c>
      <c r="E102" s="3">
        <v>2.95</v>
      </c>
      <c r="F102" s="3" t="s">
        <v>10</v>
      </c>
      <c r="G102" s="3" t="s">
        <v>16</v>
      </c>
      <c r="H102" t="s">
        <v>24</v>
      </c>
      <c r="I102">
        <v>746</v>
      </c>
      <c r="J102" t="e" vm="1">
        <v>#VALUE!</v>
      </c>
      <c r="K102" t="e" cm="1" vm="2">
        <f t="array" aca="1" ref="K102" ca="1">_FV(Table2[[#This Row],[City]],"Country/region",TRUE)</f>
        <v>#VALUE!</v>
      </c>
      <c r="L102">
        <f>Table2[[#This Row],[Quantity]]*Table2[[#This Row],[Price]]</f>
        <v>2200.7000000000003</v>
      </c>
    </row>
    <row r="103" spans="2:12" x14ac:dyDescent="0.3">
      <c r="B103" s="3">
        <v>10554</v>
      </c>
      <c r="C103" s="4">
        <v>44892</v>
      </c>
      <c r="D103" t="s">
        <v>13</v>
      </c>
      <c r="E103" s="3">
        <v>4.99</v>
      </c>
      <c r="F103" s="3" t="s">
        <v>10</v>
      </c>
      <c r="G103" s="3" t="s">
        <v>16</v>
      </c>
      <c r="H103" t="s">
        <v>24</v>
      </c>
      <c r="I103">
        <v>201</v>
      </c>
      <c r="J103" t="e" vm="1">
        <v>#VALUE!</v>
      </c>
      <c r="K103" t="e" cm="1" vm="2">
        <f t="array" aca="1" ref="K103" ca="1">_FV(Table2[[#This Row],[City]],"Country/region",TRUE)</f>
        <v>#VALUE!</v>
      </c>
      <c r="L103">
        <f>Table2[[#This Row],[Quantity]]*Table2[[#This Row],[Price]]</f>
        <v>1002.99</v>
      </c>
    </row>
    <row r="104" spans="2:12" x14ac:dyDescent="0.3">
      <c r="B104" s="3">
        <v>10555</v>
      </c>
      <c r="C104" s="4">
        <v>44893</v>
      </c>
      <c r="D104" t="s">
        <v>15</v>
      </c>
      <c r="E104" s="3">
        <v>12.99</v>
      </c>
      <c r="F104" s="3" t="s">
        <v>10</v>
      </c>
      <c r="G104" s="3" t="s">
        <v>16</v>
      </c>
      <c r="H104" t="s">
        <v>24</v>
      </c>
      <c r="I104">
        <v>478</v>
      </c>
      <c r="J104" t="e" vm="1">
        <v>#VALUE!</v>
      </c>
      <c r="K104" t="e" cm="1" vm="2">
        <f t="array" aca="1" ref="K104" ca="1">_FV(Table2[[#This Row],[City]],"Country/region",TRUE)</f>
        <v>#VALUE!</v>
      </c>
      <c r="L104">
        <f>Table2[[#This Row],[Quantity]]*Table2[[#This Row],[Price]]</f>
        <v>6209.22</v>
      </c>
    </row>
    <row r="105" spans="2:12" x14ac:dyDescent="0.3">
      <c r="B105" s="3">
        <v>10556</v>
      </c>
      <c r="C105" s="4">
        <v>44893</v>
      </c>
      <c r="D105" t="s">
        <v>18</v>
      </c>
      <c r="E105" s="3">
        <v>9.9499999999999993</v>
      </c>
      <c r="F105" s="3" t="s">
        <v>10</v>
      </c>
      <c r="G105" s="3" t="s">
        <v>16</v>
      </c>
      <c r="H105" t="s">
        <v>24</v>
      </c>
      <c r="I105">
        <v>202</v>
      </c>
      <c r="J105" t="e" vm="1">
        <v>#VALUE!</v>
      </c>
      <c r="K105" t="e" cm="1" vm="2">
        <f t="array" aca="1" ref="K105" ca="1">_FV(Table2[[#This Row],[City]],"Country/region",TRUE)</f>
        <v>#VALUE!</v>
      </c>
      <c r="L105">
        <f>Table2[[#This Row],[Quantity]]*Table2[[#This Row],[Price]]</f>
        <v>2009.8999999999999</v>
      </c>
    </row>
    <row r="106" spans="2:12" x14ac:dyDescent="0.3">
      <c r="B106" s="3">
        <v>10557</v>
      </c>
      <c r="C106" s="4">
        <v>44893</v>
      </c>
      <c r="D106" t="s">
        <v>9</v>
      </c>
      <c r="E106" s="3">
        <v>3.49</v>
      </c>
      <c r="F106" s="3" t="s">
        <v>10</v>
      </c>
      <c r="G106" s="3" t="s">
        <v>16</v>
      </c>
      <c r="H106" t="s">
        <v>24</v>
      </c>
      <c r="I106">
        <v>631</v>
      </c>
      <c r="J106" t="e" vm="1">
        <v>#VALUE!</v>
      </c>
      <c r="K106" t="e" cm="1" vm="2">
        <f t="array" aca="1" ref="K106" ca="1">_FV(Table2[[#This Row],[City]],"Country/region",TRUE)</f>
        <v>#VALUE!</v>
      </c>
      <c r="L106">
        <f>Table2[[#This Row],[Quantity]]*Table2[[#This Row],[Price]]</f>
        <v>2202.19</v>
      </c>
    </row>
    <row r="107" spans="2:12" x14ac:dyDescent="0.3">
      <c r="B107" s="3">
        <v>10558</v>
      </c>
      <c r="C107" s="4">
        <v>44893</v>
      </c>
      <c r="D107" t="s">
        <v>12</v>
      </c>
      <c r="E107" s="3">
        <v>2.95</v>
      </c>
      <c r="F107" s="3" t="s">
        <v>10</v>
      </c>
      <c r="G107" s="3" t="s">
        <v>16</v>
      </c>
      <c r="H107" t="s">
        <v>24</v>
      </c>
      <c r="I107">
        <v>678</v>
      </c>
      <c r="J107" t="e" vm="1">
        <v>#VALUE!</v>
      </c>
      <c r="K107" t="e" cm="1" vm="2">
        <f t="array" aca="1" ref="K107" ca="1">_FV(Table2[[#This Row],[City]],"Country/region",TRUE)</f>
        <v>#VALUE!</v>
      </c>
      <c r="L107">
        <f>Table2[[#This Row],[Quantity]]*Table2[[#This Row],[Price]]</f>
        <v>2000.1000000000001</v>
      </c>
    </row>
    <row r="108" spans="2:12" x14ac:dyDescent="0.3">
      <c r="B108" s="3">
        <v>10559</v>
      </c>
      <c r="C108" s="4">
        <v>44893</v>
      </c>
      <c r="D108" t="s">
        <v>13</v>
      </c>
      <c r="E108" s="3">
        <v>4.99</v>
      </c>
      <c r="F108" s="3" t="s">
        <v>10</v>
      </c>
      <c r="G108" s="3" t="s">
        <v>16</v>
      </c>
      <c r="H108" t="s">
        <v>24</v>
      </c>
      <c r="I108">
        <v>201</v>
      </c>
      <c r="J108" t="e" vm="1">
        <v>#VALUE!</v>
      </c>
      <c r="K108" t="e" cm="1" vm="2">
        <f t="array" aca="1" ref="K108" ca="1">_FV(Table2[[#This Row],[City]],"Country/region",TRUE)</f>
        <v>#VALUE!</v>
      </c>
      <c r="L108">
        <f>Table2[[#This Row],[Quantity]]*Table2[[#This Row],[Price]]</f>
        <v>1002.99</v>
      </c>
    </row>
    <row r="109" spans="2:12" x14ac:dyDescent="0.3">
      <c r="B109" s="3">
        <v>10560</v>
      </c>
      <c r="C109" s="4">
        <v>44894</v>
      </c>
      <c r="D109" t="s">
        <v>15</v>
      </c>
      <c r="E109" s="3">
        <v>12.99</v>
      </c>
      <c r="F109" s="3" t="s">
        <v>10</v>
      </c>
      <c r="G109" s="3" t="s">
        <v>16</v>
      </c>
      <c r="H109" t="s">
        <v>24</v>
      </c>
      <c r="I109">
        <v>478</v>
      </c>
      <c r="J109" t="e" vm="1">
        <v>#VALUE!</v>
      </c>
      <c r="K109" t="e" cm="1" vm="2">
        <f t="array" aca="1" ref="K109" ca="1">_FV(Table2[[#This Row],[City]],"Country/region",TRUE)</f>
        <v>#VALUE!</v>
      </c>
      <c r="L109">
        <f>Table2[[#This Row],[Quantity]]*Table2[[#This Row],[Price]]</f>
        <v>6209.22</v>
      </c>
    </row>
    <row r="110" spans="2:12" x14ac:dyDescent="0.3">
      <c r="B110" s="3">
        <v>10561</v>
      </c>
      <c r="C110" s="4">
        <v>44894</v>
      </c>
      <c r="D110" t="s">
        <v>18</v>
      </c>
      <c r="E110" s="3">
        <v>9.9499999999999993</v>
      </c>
      <c r="F110" s="3" t="s">
        <v>10</v>
      </c>
      <c r="G110" s="3" t="s">
        <v>16</v>
      </c>
      <c r="H110" t="s">
        <v>24</v>
      </c>
      <c r="I110">
        <v>202</v>
      </c>
      <c r="J110" t="e" vm="1">
        <v>#VALUE!</v>
      </c>
      <c r="K110" t="e" cm="1" vm="2">
        <f t="array" aca="1" ref="K110" ca="1">_FV(Table2[[#This Row],[City]],"Country/region",TRUE)</f>
        <v>#VALUE!</v>
      </c>
      <c r="L110">
        <f>Table2[[#This Row],[Quantity]]*Table2[[#This Row],[Price]]</f>
        <v>2009.8999999999999</v>
      </c>
    </row>
    <row r="111" spans="2:12" x14ac:dyDescent="0.3">
      <c r="B111" s="3">
        <v>10562</v>
      </c>
      <c r="C111" s="4">
        <v>44894</v>
      </c>
      <c r="D111" t="s">
        <v>9</v>
      </c>
      <c r="E111" s="3">
        <v>3.49</v>
      </c>
      <c r="F111" s="3" t="s">
        <v>10</v>
      </c>
      <c r="G111" s="3" t="s">
        <v>16</v>
      </c>
      <c r="H111" t="s">
        <v>24</v>
      </c>
      <c r="I111">
        <v>631</v>
      </c>
      <c r="J111" t="e" vm="1">
        <v>#VALUE!</v>
      </c>
      <c r="K111" t="e" cm="1" vm="2">
        <f t="array" aca="1" ref="K111" ca="1">_FV(Table2[[#This Row],[City]],"Country/region",TRUE)</f>
        <v>#VALUE!</v>
      </c>
      <c r="L111">
        <f>Table2[[#This Row],[Quantity]]*Table2[[#This Row],[Price]]</f>
        <v>2202.19</v>
      </c>
    </row>
    <row r="112" spans="2:12" x14ac:dyDescent="0.3">
      <c r="B112" s="3">
        <v>10563</v>
      </c>
      <c r="C112" s="4">
        <v>44894</v>
      </c>
      <c r="D112" t="s">
        <v>12</v>
      </c>
      <c r="E112" s="3">
        <v>2.95</v>
      </c>
      <c r="F112" s="3" t="s">
        <v>10</v>
      </c>
      <c r="G112" s="3" t="s">
        <v>16</v>
      </c>
      <c r="H112" t="s">
        <v>24</v>
      </c>
      <c r="I112">
        <v>678</v>
      </c>
      <c r="J112" t="e" vm="1">
        <v>#VALUE!</v>
      </c>
      <c r="K112" t="e" cm="1" vm="2">
        <f t="array" aca="1" ref="K112" ca="1">_FV(Table2[[#This Row],[City]],"Country/region",TRUE)</f>
        <v>#VALUE!</v>
      </c>
      <c r="L112">
        <f>Table2[[#This Row],[Quantity]]*Table2[[#This Row],[Price]]</f>
        <v>2000.1000000000001</v>
      </c>
    </row>
    <row r="113" spans="2:12" x14ac:dyDescent="0.3">
      <c r="B113" s="3">
        <v>10564</v>
      </c>
      <c r="C113" s="4">
        <v>44894</v>
      </c>
      <c r="D113" t="s">
        <v>13</v>
      </c>
      <c r="E113" s="3">
        <v>4.99</v>
      </c>
      <c r="F113" s="3" t="s">
        <v>10</v>
      </c>
      <c r="G113" s="3" t="s">
        <v>16</v>
      </c>
      <c r="H113" t="s">
        <v>24</v>
      </c>
      <c r="I113">
        <v>201</v>
      </c>
      <c r="J113" t="e" vm="1">
        <v>#VALUE!</v>
      </c>
      <c r="K113" t="e" cm="1" vm="2">
        <f t="array" aca="1" ref="K113" ca="1">_FV(Table2[[#This Row],[City]],"Country/region",TRUE)</f>
        <v>#VALUE!</v>
      </c>
      <c r="L113">
        <f>Table2[[#This Row],[Quantity]]*Table2[[#This Row],[Price]]</f>
        <v>1002.99</v>
      </c>
    </row>
    <row r="114" spans="2:12" x14ac:dyDescent="0.3">
      <c r="B114" s="3">
        <v>10565</v>
      </c>
      <c r="C114" s="4">
        <v>44895</v>
      </c>
      <c r="D114" t="s">
        <v>15</v>
      </c>
      <c r="E114" s="3">
        <v>12.99</v>
      </c>
      <c r="F114" s="3" t="s">
        <v>10</v>
      </c>
      <c r="G114" s="3" t="s">
        <v>16</v>
      </c>
      <c r="H114" t="s">
        <v>24</v>
      </c>
      <c r="I114">
        <v>493</v>
      </c>
      <c r="J114" t="e" vm="1">
        <v>#VALUE!</v>
      </c>
      <c r="K114" t="e" cm="1" vm="2">
        <f t="array" aca="1" ref="K114" ca="1">_FV(Table2[[#This Row],[City]],"Country/region",TRUE)</f>
        <v>#VALUE!</v>
      </c>
      <c r="L114">
        <f>Table2[[#This Row],[Quantity]]*Table2[[#This Row],[Price]]</f>
        <v>6404.07</v>
      </c>
    </row>
    <row r="115" spans="2:12" x14ac:dyDescent="0.3">
      <c r="B115" s="3">
        <v>10566</v>
      </c>
      <c r="C115" s="4">
        <v>44895</v>
      </c>
      <c r="D115" t="s">
        <v>18</v>
      </c>
      <c r="E115" s="3">
        <v>9.9499999999999993</v>
      </c>
      <c r="F115" s="3" t="s">
        <v>10</v>
      </c>
      <c r="G115" s="3" t="s">
        <v>16</v>
      </c>
      <c r="H115" t="s">
        <v>24</v>
      </c>
      <c r="I115">
        <v>202</v>
      </c>
      <c r="J115" t="e" vm="1">
        <v>#VALUE!</v>
      </c>
      <c r="K115" t="e" cm="1" vm="2">
        <f t="array" aca="1" ref="K115" ca="1">_FV(Table2[[#This Row],[City]],"Country/region",TRUE)</f>
        <v>#VALUE!</v>
      </c>
      <c r="L115">
        <f>Table2[[#This Row],[Quantity]]*Table2[[#This Row],[Price]]</f>
        <v>2009.8999999999999</v>
      </c>
    </row>
    <row r="116" spans="2:12" x14ac:dyDescent="0.3">
      <c r="B116" s="3">
        <v>10567</v>
      </c>
      <c r="C116" s="4">
        <v>44895</v>
      </c>
      <c r="D116" t="s">
        <v>9</v>
      </c>
      <c r="E116" s="3">
        <v>3.49</v>
      </c>
      <c r="F116" s="3" t="s">
        <v>10</v>
      </c>
      <c r="G116" s="3" t="s">
        <v>16</v>
      </c>
      <c r="H116" t="s">
        <v>24</v>
      </c>
      <c r="I116">
        <v>631</v>
      </c>
      <c r="J116" t="e" vm="1">
        <v>#VALUE!</v>
      </c>
      <c r="K116" t="e" cm="1" vm="2">
        <f t="array" aca="1" ref="K116" ca="1">_FV(Table2[[#This Row],[City]],"Country/region",TRUE)</f>
        <v>#VALUE!</v>
      </c>
      <c r="L116">
        <f>Table2[[#This Row],[Quantity]]*Table2[[#This Row],[Price]]</f>
        <v>2202.19</v>
      </c>
    </row>
    <row r="117" spans="2:12" x14ac:dyDescent="0.3">
      <c r="B117" s="3">
        <v>10568</v>
      </c>
      <c r="C117" s="4">
        <v>44895</v>
      </c>
      <c r="D117" t="s">
        <v>12</v>
      </c>
      <c r="E117" s="3">
        <v>2.95</v>
      </c>
      <c r="F117" s="3" t="s">
        <v>10</v>
      </c>
      <c r="G117" s="3" t="s">
        <v>16</v>
      </c>
      <c r="H117" t="s">
        <v>24</v>
      </c>
      <c r="I117">
        <v>678</v>
      </c>
      <c r="J117" t="e" vm="1">
        <v>#VALUE!</v>
      </c>
      <c r="K117" t="e" cm="1" vm="2">
        <f t="array" aca="1" ref="K117" ca="1">_FV(Table2[[#This Row],[City]],"Country/region",TRUE)</f>
        <v>#VALUE!</v>
      </c>
      <c r="L117">
        <f>Table2[[#This Row],[Quantity]]*Table2[[#This Row],[Price]]</f>
        <v>2000.1000000000001</v>
      </c>
    </row>
    <row r="118" spans="2:12" x14ac:dyDescent="0.3">
      <c r="B118" s="3">
        <v>10569</v>
      </c>
      <c r="C118" s="4">
        <v>44895</v>
      </c>
      <c r="D118" t="s">
        <v>13</v>
      </c>
      <c r="E118" s="3">
        <v>4.99</v>
      </c>
      <c r="F118" s="3" t="s">
        <v>10</v>
      </c>
      <c r="G118" s="3" t="s">
        <v>16</v>
      </c>
      <c r="H118" t="s">
        <v>24</v>
      </c>
      <c r="I118">
        <v>201</v>
      </c>
      <c r="J118" t="e" vm="1">
        <v>#VALUE!</v>
      </c>
      <c r="K118" t="e" cm="1" vm="2">
        <f t="array" aca="1" ref="K118" ca="1">_FV(Table2[[#This Row],[City]],"Country/region",TRUE)</f>
        <v>#VALUE!</v>
      </c>
      <c r="L118">
        <f>Table2[[#This Row],[Quantity]]*Table2[[#This Row],[Price]]</f>
        <v>1002.99</v>
      </c>
    </row>
    <row r="119" spans="2:12" x14ac:dyDescent="0.3">
      <c r="B119" s="3">
        <v>10570</v>
      </c>
      <c r="C119" s="4">
        <v>44896</v>
      </c>
      <c r="D119" t="s">
        <v>15</v>
      </c>
      <c r="E119" s="3">
        <v>12.99</v>
      </c>
      <c r="F119" s="3" t="s">
        <v>10</v>
      </c>
      <c r="G119" s="3" t="s">
        <v>16</v>
      </c>
      <c r="H119" t="s">
        <v>24</v>
      </c>
      <c r="I119">
        <v>493</v>
      </c>
      <c r="J119" t="e" vm="1">
        <v>#VALUE!</v>
      </c>
      <c r="K119" t="e" cm="1" vm="2">
        <f t="array" aca="1" ref="K119" ca="1">_FV(Table2[[#This Row],[City]],"Country/region",TRUE)</f>
        <v>#VALUE!</v>
      </c>
      <c r="L119">
        <f>Table2[[#This Row],[Quantity]]*Table2[[#This Row],[Price]]</f>
        <v>6404.07</v>
      </c>
    </row>
    <row r="120" spans="2:12" x14ac:dyDescent="0.3">
      <c r="B120" s="3">
        <v>10571</v>
      </c>
      <c r="C120" s="4">
        <v>44896</v>
      </c>
      <c r="D120" t="s">
        <v>18</v>
      </c>
      <c r="E120" s="3">
        <v>9.9499999999999993</v>
      </c>
      <c r="F120" s="3" t="s">
        <v>10</v>
      </c>
      <c r="G120" s="3" t="s">
        <v>16</v>
      </c>
      <c r="H120" t="s">
        <v>24</v>
      </c>
      <c r="I120">
        <v>202</v>
      </c>
      <c r="J120" t="e" vm="1">
        <v>#VALUE!</v>
      </c>
      <c r="K120" t="e" cm="1" vm="2">
        <f t="array" aca="1" ref="K120" ca="1">_FV(Table2[[#This Row],[City]],"Country/region",TRUE)</f>
        <v>#VALUE!</v>
      </c>
      <c r="L120">
        <f>Table2[[#This Row],[Quantity]]*Table2[[#This Row],[Price]]</f>
        <v>2009.8999999999999</v>
      </c>
    </row>
    <row r="121" spans="2:12" x14ac:dyDescent="0.3">
      <c r="B121" s="3">
        <v>10572</v>
      </c>
      <c r="C121" s="4">
        <v>44896</v>
      </c>
      <c r="D121" t="s">
        <v>9</v>
      </c>
      <c r="E121" s="3">
        <v>3.49</v>
      </c>
      <c r="F121" s="3" t="s">
        <v>10</v>
      </c>
      <c r="G121" s="3" t="s">
        <v>16</v>
      </c>
      <c r="H121" t="s">
        <v>19</v>
      </c>
      <c r="I121">
        <v>574</v>
      </c>
      <c r="J121" t="e" vm="8">
        <v>#VALUE!</v>
      </c>
      <c r="K121" t="e" cm="1" vm="2">
        <f t="array" aca="1" ref="K121" ca="1">_FV(Table2[[#This Row],[City]],"Country/region",TRUE)</f>
        <v>#VALUE!</v>
      </c>
      <c r="L121">
        <f>Table2[[#This Row],[Quantity]]*Table2[[#This Row],[Price]]</f>
        <v>2003.2600000000002</v>
      </c>
    </row>
    <row r="122" spans="2:12" x14ac:dyDescent="0.3">
      <c r="B122" s="3">
        <v>10573</v>
      </c>
      <c r="C122" s="4">
        <v>44896</v>
      </c>
      <c r="D122" t="s">
        <v>12</v>
      </c>
      <c r="E122" s="3">
        <v>2.95</v>
      </c>
      <c r="F122" s="3" t="s">
        <v>10</v>
      </c>
      <c r="G122" s="3" t="s">
        <v>16</v>
      </c>
      <c r="H122" t="s">
        <v>19</v>
      </c>
      <c r="I122">
        <v>678</v>
      </c>
      <c r="J122" t="e" vm="8">
        <v>#VALUE!</v>
      </c>
      <c r="K122" t="e" cm="1" vm="2">
        <f t="array" aca="1" ref="K122" ca="1">_FV(Table2[[#This Row],[City]],"Country/region",TRUE)</f>
        <v>#VALUE!</v>
      </c>
      <c r="L122">
        <f>Table2[[#This Row],[Quantity]]*Table2[[#This Row],[Price]]</f>
        <v>2000.1000000000001</v>
      </c>
    </row>
    <row r="123" spans="2:12" x14ac:dyDescent="0.3">
      <c r="B123" s="3">
        <v>10574</v>
      </c>
      <c r="C123" s="4">
        <v>44896</v>
      </c>
      <c r="D123" t="s">
        <v>13</v>
      </c>
      <c r="E123" s="3">
        <v>4.99</v>
      </c>
      <c r="F123" s="3" t="s">
        <v>10</v>
      </c>
      <c r="G123" s="3" t="s">
        <v>16</v>
      </c>
      <c r="H123" t="s">
        <v>19</v>
      </c>
      <c r="I123">
        <v>201</v>
      </c>
      <c r="J123" t="e" vm="8">
        <v>#VALUE!</v>
      </c>
      <c r="K123" t="e" cm="1" vm="2">
        <f t="array" aca="1" ref="K123" ca="1">_FV(Table2[[#This Row],[City]],"Country/region",TRUE)</f>
        <v>#VALUE!</v>
      </c>
      <c r="L123">
        <f>Table2[[#This Row],[Quantity]]*Table2[[#This Row],[Price]]</f>
        <v>1002.99</v>
      </c>
    </row>
    <row r="124" spans="2:12" x14ac:dyDescent="0.3">
      <c r="B124" s="3">
        <v>10575</v>
      </c>
      <c r="C124" s="4">
        <v>44897</v>
      </c>
      <c r="D124" t="s">
        <v>15</v>
      </c>
      <c r="E124" s="3">
        <v>12.99</v>
      </c>
      <c r="F124" s="3" t="s">
        <v>10</v>
      </c>
      <c r="G124" s="3" t="s">
        <v>16</v>
      </c>
      <c r="H124" t="s">
        <v>19</v>
      </c>
      <c r="I124">
        <v>524</v>
      </c>
      <c r="J124" t="e" vm="8">
        <v>#VALUE!</v>
      </c>
      <c r="K124" t="e" cm="1" vm="2">
        <f t="array" aca="1" ref="K124" ca="1">_FV(Table2[[#This Row],[City]],"Country/region",TRUE)</f>
        <v>#VALUE!</v>
      </c>
      <c r="L124">
        <f>Table2[[#This Row],[Quantity]]*Table2[[#This Row],[Price]]</f>
        <v>6806.76</v>
      </c>
    </row>
    <row r="125" spans="2:12" x14ac:dyDescent="0.3">
      <c r="B125" s="3">
        <v>10576</v>
      </c>
      <c r="C125" s="4">
        <v>44897</v>
      </c>
      <c r="D125" t="s">
        <v>18</v>
      </c>
      <c r="E125" s="3">
        <v>9.9499999999999993</v>
      </c>
      <c r="F125" s="3" t="s">
        <v>10</v>
      </c>
      <c r="G125" s="3" t="s">
        <v>16</v>
      </c>
      <c r="H125" t="s">
        <v>19</v>
      </c>
      <c r="I125">
        <v>202</v>
      </c>
      <c r="J125" t="e" vm="8">
        <v>#VALUE!</v>
      </c>
      <c r="K125" t="e" cm="1" vm="2">
        <f t="array" aca="1" ref="K125" ca="1">_FV(Table2[[#This Row],[City]],"Country/region",TRUE)</f>
        <v>#VALUE!</v>
      </c>
      <c r="L125">
        <f>Table2[[#This Row],[Quantity]]*Table2[[#This Row],[Price]]</f>
        <v>2009.8999999999999</v>
      </c>
    </row>
    <row r="126" spans="2:12" x14ac:dyDescent="0.3">
      <c r="B126" s="3">
        <v>10577</v>
      </c>
      <c r="C126" s="4">
        <v>44897</v>
      </c>
      <c r="D126" t="s">
        <v>9</v>
      </c>
      <c r="E126" s="3">
        <v>3.49</v>
      </c>
      <c r="F126" s="3" t="s">
        <v>10</v>
      </c>
      <c r="G126" s="3" t="s">
        <v>16</v>
      </c>
      <c r="H126" t="s">
        <v>19</v>
      </c>
      <c r="I126">
        <v>631</v>
      </c>
      <c r="J126" t="e" vm="8">
        <v>#VALUE!</v>
      </c>
      <c r="K126" t="e" cm="1" vm="2">
        <f t="array" aca="1" ref="K126" ca="1">_FV(Table2[[#This Row],[City]],"Country/region",TRUE)</f>
        <v>#VALUE!</v>
      </c>
      <c r="L126">
        <f>Table2[[#This Row],[Quantity]]*Table2[[#This Row],[Price]]</f>
        <v>2202.19</v>
      </c>
    </row>
    <row r="127" spans="2:12" x14ac:dyDescent="0.3">
      <c r="B127" s="3">
        <v>10578</v>
      </c>
      <c r="C127" s="4">
        <v>44897</v>
      </c>
      <c r="D127" t="s">
        <v>12</v>
      </c>
      <c r="E127" s="3">
        <v>2.95</v>
      </c>
      <c r="F127" s="3" t="s">
        <v>10</v>
      </c>
      <c r="G127" s="3" t="s">
        <v>16</v>
      </c>
      <c r="H127" t="s">
        <v>19</v>
      </c>
      <c r="I127">
        <v>678</v>
      </c>
      <c r="J127" t="e" vm="8">
        <v>#VALUE!</v>
      </c>
      <c r="K127" t="e" cm="1" vm="2">
        <f t="array" aca="1" ref="K127" ca="1">_FV(Table2[[#This Row],[City]],"Country/region",TRUE)</f>
        <v>#VALUE!</v>
      </c>
      <c r="L127">
        <f>Table2[[#This Row],[Quantity]]*Table2[[#This Row],[Price]]</f>
        <v>2000.1000000000001</v>
      </c>
    </row>
    <row r="128" spans="2:12" x14ac:dyDescent="0.3">
      <c r="B128" s="3">
        <v>10579</v>
      </c>
      <c r="C128" s="4">
        <v>44897</v>
      </c>
      <c r="D128" t="s">
        <v>13</v>
      </c>
      <c r="E128" s="3">
        <v>4.99</v>
      </c>
      <c r="F128" s="3" t="s">
        <v>10</v>
      </c>
      <c r="G128" s="3" t="s">
        <v>16</v>
      </c>
      <c r="H128" t="s">
        <v>19</v>
      </c>
      <c r="I128">
        <v>201</v>
      </c>
      <c r="J128" t="e" vm="8">
        <v>#VALUE!</v>
      </c>
      <c r="K128" t="e" cm="1" vm="2">
        <f t="array" aca="1" ref="K128" ca="1">_FV(Table2[[#This Row],[City]],"Country/region",TRUE)</f>
        <v>#VALUE!</v>
      </c>
      <c r="L128">
        <f>Table2[[#This Row],[Quantity]]*Table2[[#This Row],[Price]]</f>
        <v>1002.99</v>
      </c>
    </row>
    <row r="129" spans="2:12" x14ac:dyDescent="0.3">
      <c r="B129" s="3">
        <v>10580</v>
      </c>
      <c r="C129" s="4">
        <v>44898</v>
      </c>
      <c r="D129" t="s">
        <v>15</v>
      </c>
      <c r="E129" s="3">
        <v>12.99</v>
      </c>
      <c r="F129" s="3" t="s">
        <v>10</v>
      </c>
      <c r="G129" s="3" t="s">
        <v>16</v>
      </c>
      <c r="H129" t="s">
        <v>19</v>
      </c>
      <c r="I129">
        <v>524</v>
      </c>
      <c r="J129" t="e" vm="8">
        <v>#VALUE!</v>
      </c>
      <c r="K129" t="e" cm="1" vm="2">
        <f t="array" aca="1" ref="K129" ca="1">_FV(Table2[[#This Row],[City]],"Country/region",TRUE)</f>
        <v>#VALUE!</v>
      </c>
      <c r="L129">
        <f>Table2[[#This Row],[Quantity]]*Table2[[#This Row],[Price]]</f>
        <v>6806.76</v>
      </c>
    </row>
    <row r="130" spans="2:12" x14ac:dyDescent="0.3">
      <c r="B130" s="3">
        <v>10581</v>
      </c>
      <c r="C130" s="4">
        <v>44898</v>
      </c>
      <c r="D130" t="s">
        <v>18</v>
      </c>
      <c r="E130" s="3">
        <v>9.9499999999999993</v>
      </c>
      <c r="F130" s="3" t="s">
        <v>10</v>
      </c>
      <c r="G130" s="3" t="s">
        <v>16</v>
      </c>
      <c r="H130" t="s">
        <v>19</v>
      </c>
      <c r="I130">
        <v>202</v>
      </c>
      <c r="J130" t="e" vm="8">
        <v>#VALUE!</v>
      </c>
      <c r="K130" t="e" cm="1" vm="2">
        <f t="array" aca="1" ref="K130" ca="1">_FV(Table2[[#This Row],[City]],"Country/region",TRUE)</f>
        <v>#VALUE!</v>
      </c>
      <c r="L130">
        <f>Table2[[#This Row],[Quantity]]*Table2[[#This Row],[Price]]</f>
        <v>2009.8999999999999</v>
      </c>
    </row>
    <row r="131" spans="2:12" x14ac:dyDescent="0.3">
      <c r="B131" s="3">
        <v>10582</v>
      </c>
      <c r="C131" s="4">
        <v>44898</v>
      </c>
      <c r="D131" t="s">
        <v>9</v>
      </c>
      <c r="E131" s="3">
        <v>3.49</v>
      </c>
      <c r="F131" s="3" t="s">
        <v>10</v>
      </c>
      <c r="G131" s="3" t="s">
        <v>16</v>
      </c>
      <c r="H131" t="s">
        <v>24</v>
      </c>
      <c r="I131">
        <v>631</v>
      </c>
      <c r="J131" t="e" vm="1">
        <v>#VALUE!</v>
      </c>
      <c r="K131" t="e" cm="1" vm="2">
        <f t="array" aca="1" ref="K131" ca="1">_FV(Table2[[#This Row],[City]],"Country/region",TRUE)</f>
        <v>#VALUE!</v>
      </c>
      <c r="L131">
        <f>Table2[[#This Row],[Quantity]]*Table2[[#This Row],[Price]]</f>
        <v>2202.19</v>
      </c>
    </row>
    <row r="132" spans="2:12" x14ac:dyDescent="0.3">
      <c r="B132" s="3">
        <v>10583</v>
      </c>
      <c r="C132" s="4">
        <v>44898</v>
      </c>
      <c r="D132" t="s">
        <v>12</v>
      </c>
      <c r="E132" s="3">
        <v>2.95</v>
      </c>
      <c r="F132" s="3" t="s">
        <v>10</v>
      </c>
      <c r="G132" s="3" t="s">
        <v>16</v>
      </c>
      <c r="H132" t="s">
        <v>24</v>
      </c>
      <c r="I132">
        <v>678</v>
      </c>
      <c r="J132" t="e" vm="1">
        <v>#VALUE!</v>
      </c>
      <c r="K132" t="e" cm="1" vm="2">
        <f t="array" aca="1" ref="K132" ca="1">_FV(Table2[[#This Row],[City]],"Country/region",TRUE)</f>
        <v>#VALUE!</v>
      </c>
      <c r="L132">
        <f>Table2[[#This Row],[Quantity]]*Table2[[#This Row],[Price]]</f>
        <v>2000.1000000000001</v>
      </c>
    </row>
    <row r="133" spans="2:12" x14ac:dyDescent="0.3">
      <c r="B133" s="3">
        <v>10584</v>
      </c>
      <c r="C133" s="4">
        <v>44898</v>
      </c>
      <c r="D133" t="s">
        <v>13</v>
      </c>
      <c r="E133" s="3">
        <v>4.99</v>
      </c>
      <c r="F133" s="3" t="s">
        <v>10</v>
      </c>
      <c r="G133" s="3" t="s">
        <v>16</v>
      </c>
      <c r="H133" t="s">
        <v>24</v>
      </c>
      <c r="I133">
        <v>201</v>
      </c>
      <c r="J133" t="e" vm="1">
        <v>#VALUE!</v>
      </c>
      <c r="K133" t="e" cm="1" vm="2">
        <f t="array" aca="1" ref="K133" ca="1">_FV(Table2[[#This Row],[City]],"Country/region",TRUE)</f>
        <v>#VALUE!</v>
      </c>
      <c r="L133">
        <f>Table2[[#This Row],[Quantity]]*Table2[[#This Row],[Price]]</f>
        <v>1002.99</v>
      </c>
    </row>
    <row r="134" spans="2:12" x14ac:dyDescent="0.3">
      <c r="B134" s="3">
        <v>10585</v>
      </c>
      <c r="C134" s="4">
        <v>44899</v>
      </c>
      <c r="D134" t="s">
        <v>15</v>
      </c>
      <c r="E134" s="3">
        <v>12.99</v>
      </c>
      <c r="F134" s="3" t="s">
        <v>10</v>
      </c>
      <c r="G134" s="3" t="s">
        <v>16</v>
      </c>
      <c r="H134" t="s">
        <v>24</v>
      </c>
      <c r="I134">
        <v>539</v>
      </c>
      <c r="J134" t="e" vm="1">
        <v>#VALUE!</v>
      </c>
      <c r="K134" t="e" cm="1" vm="2">
        <f t="array" aca="1" ref="K134" ca="1">_FV(Table2[[#This Row],[City]],"Country/region",TRUE)</f>
        <v>#VALUE!</v>
      </c>
      <c r="L134">
        <f>Table2[[#This Row],[Quantity]]*Table2[[#This Row],[Price]]</f>
        <v>7001.61</v>
      </c>
    </row>
    <row r="135" spans="2:12" x14ac:dyDescent="0.3">
      <c r="B135" s="3">
        <v>10586</v>
      </c>
      <c r="C135" s="4">
        <v>44899</v>
      </c>
      <c r="D135" t="s">
        <v>18</v>
      </c>
      <c r="E135" s="3">
        <v>9.9499999999999993</v>
      </c>
      <c r="F135" s="3" t="s">
        <v>10</v>
      </c>
      <c r="G135" s="3" t="s">
        <v>16</v>
      </c>
      <c r="H135" t="s">
        <v>24</v>
      </c>
      <c r="I135">
        <v>202</v>
      </c>
      <c r="J135" t="e" vm="1">
        <v>#VALUE!</v>
      </c>
      <c r="K135" t="e" cm="1" vm="2">
        <f t="array" aca="1" ref="K135" ca="1">_FV(Table2[[#This Row],[City]],"Country/region",TRUE)</f>
        <v>#VALUE!</v>
      </c>
      <c r="L135">
        <f>Table2[[#This Row],[Quantity]]*Table2[[#This Row],[Price]]</f>
        <v>2009.8999999999999</v>
      </c>
    </row>
    <row r="136" spans="2:12" x14ac:dyDescent="0.3">
      <c r="B136" s="3">
        <v>10590</v>
      </c>
      <c r="C136" s="4">
        <v>44900</v>
      </c>
      <c r="D136" t="s">
        <v>15</v>
      </c>
      <c r="E136" s="3">
        <v>12.99</v>
      </c>
      <c r="F136" s="3" t="s">
        <v>10</v>
      </c>
      <c r="G136" s="3" t="s">
        <v>16</v>
      </c>
      <c r="H136" t="s">
        <v>24</v>
      </c>
      <c r="I136">
        <v>555</v>
      </c>
      <c r="J136" t="e" vm="1">
        <v>#VALUE!</v>
      </c>
      <c r="K136" t="e" cm="1" vm="2">
        <f t="array" aca="1" ref="K136" ca="1">_FV(Table2[[#This Row],[City]],"Country/region",TRUE)</f>
        <v>#VALUE!</v>
      </c>
      <c r="L136">
        <f>Table2[[#This Row],[Quantity]]*Table2[[#This Row],[Price]]</f>
        <v>7209.45</v>
      </c>
    </row>
    <row r="137" spans="2:12" x14ac:dyDescent="0.3">
      <c r="B137" s="3">
        <v>10591</v>
      </c>
      <c r="C137" s="4">
        <v>44900</v>
      </c>
      <c r="D137" t="s">
        <v>18</v>
      </c>
      <c r="E137" s="3">
        <v>9.9499999999999993</v>
      </c>
      <c r="F137" s="3" t="s">
        <v>10</v>
      </c>
      <c r="G137" s="3" t="s">
        <v>16</v>
      </c>
      <c r="H137" t="s">
        <v>24</v>
      </c>
      <c r="I137">
        <v>202</v>
      </c>
      <c r="J137" t="e" vm="1">
        <v>#VALUE!</v>
      </c>
      <c r="K137" t="e" cm="1" vm="2">
        <f t="array" aca="1" ref="K137" ca="1">_FV(Table2[[#This Row],[City]],"Country/region",TRUE)</f>
        <v>#VALUE!</v>
      </c>
      <c r="L137">
        <f>Table2[[#This Row],[Quantity]]*Table2[[#This Row],[Price]]</f>
        <v>2009.8999999999999</v>
      </c>
    </row>
    <row r="138" spans="2:12" x14ac:dyDescent="0.3">
      <c r="B138" s="3">
        <v>10592</v>
      </c>
      <c r="C138" s="4">
        <v>44900</v>
      </c>
      <c r="D138" t="s">
        <v>9</v>
      </c>
      <c r="E138" s="3">
        <v>3.49</v>
      </c>
      <c r="F138" s="3" t="s">
        <v>10</v>
      </c>
      <c r="G138" s="3" t="s">
        <v>16</v>
      </c>
      <c r="H138" t="s">
        <v>24</v>
      </c>
      <c r="I138">
        <v>574</v>
      </c>
      <c r="J138" t="e" vm="1">
        <v>#VALUE!</v>
      </c>
      <c r="K138" t="e" cm="1" vm="2">
        <f t="array" aca="1" ref="K138" ca="1">_FV(Table2[[#This Row],[City]],"Country/region",TRUE)</f>
        <v>#VALUE!</v>
      </c>
      <c r="L138">
        <f>Table2[[#This Row],[Quantity]]*Table2[[#This Row],[Price]]</f>
        <v>2003.2600000000002</v>
      </c>
    </row>
    <row r="139" spans="2:12" x14ac:dyDescent="0.3">
      <c r="B139" s="3">
        <v>10593</v>
      </c>
      <c r="C139" s="4">
        <v>44900</v>
      </c>
      <c r="D139" t="s">
        <v>12</v>
      </c>
      <c r="E139" s="3">
        <v>2.95</v>
      </c>
      <c r="F139" s="3" t="s">
        <v>10</v>
      </c>
      <c r="G139" s="3" t="s">
        <v>16</v>
      </c>
      <c r="H139" t="s">
        <v>24</v>
      </c>
      <c r="I139">
        <v>678</v>
      </c>
      <c r="J139" t="e" vm="1">
        <v>#VALUE!</v>
      </c>
      <c r="K139" t="e" cm="1" vm="2">
        <f t="array" aca="1" ref="K139" ca="1">_FV(Table2[[#This Row],[City]],"Country/region",TRUE)</f>
        <v>#VALUE!</v>
      </c>
      <c r="L139">
        <f>Table2[[#This Row],[Quantity]]*Table2[[#This Row],[Price]]</f>
        <v>2000.1000000000001</v>
      </c>
    </row>
    <row r="140" spans="2:12" x14ac:dyDescent="0.3">
      <c r="B140" s="3">
        <v>10594</v>
      </c>
      <c r="C140" s="4">
        <v>44900</v>
      </c>
      <c r="D140" t="s">
        <v>13</v>
      </c>
      <c r="E140" s="3">
        <v>4.99</v>
      </c>
      <c r="F140" s="3" t="s">
        <v>10</v>
      </c>
      <c r="G140" s="3" t="s">
        <v>16</v>
      </c>
      <c r="H140" t="s">
        <v>24</v>
      </c>
      <c r="I140">
        <v>201</v>
      </c>
      <c r="J140" t="e" vm="1">
        <v>#VALUE!</v>
      </c>
      <c r="K140" t="e" cm="1" vm="2">
        <f t="array" aca="1" ref="K140" ca="1">_FV(Table2[[#This Row],[City]],"Country/region",TRUE)</f>
        <v>#VALUE!</v>
      </c>
      <c r="L140">
        <f>Table2[[#This Row],[Quantity]]*Table2[[#This Row],[Price]]</f>
        <v>1002.99</v>
      </c>
    </row>
    <row r="141" spans="2:12" x14ac:dyDescent="0.3">
      <c r="B141" s="3">
        <v>10595</v>
      </c>
      <c r="C141" s="4">
        <v>44901</v>
      </c>
      <c r="D141" t="s">
        <v>15</v>
      </c>
      <c r="E141" s="3">
        <v>12.99</v>
      </c>
      <c r="F141" s="3" t="s">
        <v>10</v>
      </c>
      <c r="G141" s="3" t="s">
        <v>16</v>
      </c>
      <c r="H141" t="s">
        <v>24</v>
      </c>
      <c r="I141">
        <v>539</v>
      </c>
      <c r="J141" t="e" vm="1">
        <v>#VALUE!</v>
      </c>
      <c r="K141" t="e" cm="1" vm="2">
        <f t="array" aca="1" ref="K141" ca="1">_FV(Table2[[#This Row],[City]],"Country/region",TRUE)</f>
        <v>#VALUE!</v>
      </c>
      <c r="L141">
        <f>Table2[[#This Row],[Quantity]]*Table2[[#This Row],[Price]]</f>
        <v>7001.61</v>
      </c>
    </row>
    <row r="142" spans="2:12" x14ac:dyDescent="0.3">
      <c r="B142" s="3">
        <v>10596</v>
      </c>
      <c r="C142" s="4">
        <v>44901</v>
      </c>
      <c r="D142" t="s">
        <v>18</v>
      </c>
      <c r="E142" s="3">
        <v>9.9499999999999993</v>
      </c>
      <c r="F142" s="3" t="s">
        <v>10</v>
      </c>
      <c r="G142" s="3" t="s">
        <v>16</v>
      </c>
      <c r="H142" t="s">
        <v>24</v>
      </c>
      <c r="I142">
        <v>202</v>
      </c>
      <c r="J142" t="e" vm="1">
        <v>#VALUE!</v>
      </c>
      <c r="K142" t="e" cm="1" vm="2">
        <f t="array" aca="1" ref="K142" ca="1">_FV(Table2[[#This Row],[City]],"Country/region",TRUE)</f>
        <v>#VALUE!</v>
      </c>
      <c r="L142">
        <f>Table2[[#This Row],[Quantity]]*Table2[[#This Row],[Price]]</f>
        <v>2009.8999999999999</v>
      </c>
    </row>
    <row r="143" spans="2:12" x14ac:dyDescent="0.3">
      <c r="B143" s="3">
        <v>10597</v>
      </c>
      <c r="C143" s="4">
        <v>44901</v>
      </c>
      <c r="D143" t="s">
        <v>9</v>
      </c>
      <c r="E143" s="3">
        <v>3.49</v>
      </c>
      <c r="F143" s="3" t="s">
        <v>10</v>
      </c>
      <c r="G143" s="3" t="s">
        <v>16</v>
      </c>
      <c r="H143" t="s">
        <v>24</v>
      </c>
      <c r="I143">
        <v>574</v>
      </c>
      <c r="J143" t="e" vm="1">
        <v>#VALUE!</v>
      </c>
      <c r="K143" t="e" cm="1" vm="2">
        <f t="array" aca="1" ref="K143" ca="1">_FV(Table2[[#This Row],[City]],"Country/region",TRUE)</f>
        <v>#VALUE!</v>
      </c>
      <c r="L143">
        <f>Table2[[#This Row],[Quantity]]*Table2[[#This Row],[Price]]</f>
        <v>2003.2600000000002</v>
      </c>
    </row>
    <row r="144" spans="2:12" x14ac:dyDescent="0.3">
      <c r="B144" s="3">
        <v>10598</v>
      </c>
      <c r="C144" s="4">
        <v>44901</v>
      </c>
      <c r="D144" t="s">
        <v>12</v>
      </c>
      <c r="E144" s="3">
        <v>2.95</v>
      </c>
      <c r="F144" s="3" t="s">
        <v>10</v>
      </c>
      <c r="G144" s="3" t="s">
        <v>16</v>
      </c>
      <c r="H144" t="s">
        <v>24</v>
      </c>
      <c r="I144">
        <v>678</v>
      </c>
      <c r="J144" t="e" vm="1">
        <v>#VALUE!</v>
      </c>
      <c r="K144" t="e" cm="1" vm="2">
        <f t="array" aca="1" ref="K144" ca="1">_FV(Table2[[#This Row],[City]],"Country/region",TRUE)</f>
        <v>#VALUE!</v>
      </c>
      <c r="L144">
        <f>Table2[[#This Row],[Quantity]]*Table2[[#This Row],[Price]]</f>
        <v>2000.1000000000001</v>
      </c>
    </row>
    <row r="145" spans="2:12" x14ac:dyDescent="0.3">
      <c r="B145" s="3">
        <v>10599</v>
      </c>
      <c r="C145" s="4">
        <v>44901</v>
      </c>
      <c r="D145" t="s">
        <v>13</v>
      </c>
      <c r="E145" s="3">
        <v>4.99</v>
      </c>
      <c r="F145" s="3" t="s">
        <v>10</v>
      </c>
      <c r="G145" s="3" t="s">
        <v>16</v>
      </c>
      <c r="H145" t="s">
        <v>24</v>
      </c>
      <c r="I145">
        <v>201</v>
      </c>
      <c r="J145" t="e" vm="1">
        <v>#VALUE!</v>
      </c>
      <c r="K145" t="e" cm="1" vm="2">
        <f t="array" aca="1" ref="K145" ca="1">_FV(Table2[[#This Row],[City]],"Country/region",TRUE)</f>
        <v>#VALUE!</v>
      </c>
      <c r="L145">
        <f>Table2[[#This Row],[Quantity]]*Table2[[#This Row],[Price]]</f>
        <v>1002.99</v>
      </c>
    </row>
    <row r="146" spans="2:12" x14ac:dyDescent="0.3">
      <c r="B146" s="3">
        <v>10600</v>
      </c>
      <c r="C146" s="4">
        <v>44902</v>
      </c>
      <c r="D146" t="s">
        <v>15</v>
      </c>
      <c r="E146" s="3">
        <v>12.99</v>
      </c>
      <c r="F146" s="3" t="s">
        <v>10</v>
      </c>
      <c r="G146" s="3" t="s">
        <v>16</v>
      </c>
      <c r="H146" t="s">
        <v>24</v>
      </c>
      <c r="I146">
        <v>524</v>
      </c>
      <c r="J146" t="e" vm="1">
        <v>#VALUE!</v>
      </c>
      <c r="K146" t="e" cm="1" vm="2">
        <f t="array" aca="1" ref="K146" ca="1">_FV(Table2[[#This Row],[City]],"Country/region",TRUE)</f>
        <v>#VALUE!</v>
      </c>
      <c r="L146">
        <f>Table2[[#This Row],[Quantity]]*Table2[[#This Row],[Price]]</f>
        <v>6806.76</v>
      </c>
    </row>
    <row r="147" spans="2:12" x14ac:dyDescent="0.3">
      <c r="B147" s="3">
        <v>10601</v>
      </c>
      <c r="C147" s="4">
        <v>44902</v>
      </c>
      <c r="D147" t="s">
        <v>18</v>
      </c>
      <c r="E147" s="3">
        <v>9.9499999999999993</v>
      </c>
      <c r="F147" s="3" t="s">
        <v>10</v>
      </c>
      <c r="G147" s="3" t="s">
        <v>16</v>
      </c>
      <c r="H147" t="s">
        <v>24</v>
      </c>
      <c r="I147">
        <v>202</v>
      </c>
      <c r="J147" t="e" vm="1">
        <v>#VALUE!</v>
      </c>
      <c r="K147" t="e" cm="1" vm="2">
        <f t="array" aca="1" ref="K147" ca="1">_FV(Table2[[#This Row],[City]],"Country/region",TRUE)</f>
        <v>#VALUE!</v>
      </c>
      <c r="L147">
        <f>Table2[[#This Row],[Quantity]]*Table2[[#This Row],[Price]]</f>
        <v>2009.8999999999999</v>
      </c>
    </row>
    <row r="148" spans="2:12" x14ac:dyDescent="0.3">
      <c r="B148" s="3">
        <v>10602</v>
      </c>
      <c r="C148" s="4">
        <v>44902</v>
      </c>
      <c r="D148" t="s">
        <v>9</v>
      </c>
      <c r="E148" s="3">
        <v>3.49</v>
      </c>
      <c r="F148" s="3" t="s">
        <v>10</v>
      </c>
      <c r="G148" s="3" t="s">
        <v>23</v>
      </c>
      <c r="H148" t="s">
        <v>24</v>
      </c>
      <c r="I148">
        <v>631</v>
      </c>
      <c r="J148" t="e" vm="1">
        <v>#VALUE!</v>
      </c>
      <c r="K148" t="e" cm="1" vm="2">
        <f t="array" aca="1" ref="K148" ca="1">_FV(Table2[[#This Row],[City]],"Country/region",TRUE)</f>
        <v>#VALUE!</v>
      </c>
      <c r="L148">
        <f>Table2[[#This Row],[Quantity]]*Table2[[#This Row],[Price]]</f>
        <v>2202.19</v>
      </c>
    </row>
    <row r="149" spans="2:12" x14ac:dyDescent="0.3">
      <c r="B149" s="3">
        <v>10603</v>
      </c>
      <c r="C149" s="4">
        <v>44902</v>
      </c>
      <c r="D149" t="s">
        <v>12</v>
      </c>
      <c r="E149" s="3">
        <v>2.95</v>
      </c>
      <c r="F149" s="3" t="s">
        <v>10</v>
      </c>
      <c r="G149" s="3" t="s">
        <v>23</v>
      </c>
      <c r="H149" t="s">
        <v>24</v>
      </c>
      <c r="I149">
        <v>678</v>
      </c>
      <c r="J149" t="e" vm="1">
        <v>#VALUE!</v>
      </c>
      <c r="K149" t="e" cm="1" vm="2">
        <f t="array" aca="1" ref="K149" ca="1">_FV(Table2[[#This Row],[City]],"Country/region",TRUE)</f>
        <v>#VALUE!</v>
      </c>
      <c r="L149">
        <f>Table2[[#This Row],[Quantity]]*Table2[[#This Row],[Price]]</f>
        <v>2000.1000000000001</v>
      </c>
    </row>
    <row r="150" spans="2:12" x14ac:dyDescent="0.3">
      <c r="B150" s="3">
        <v>10604</v>
      </c>
      <c r="C150" s="4">
        <v>44902</v>
      </c>
      <c r="D150" t="s">
        <v>13</v>
      </c>
      <c r="E150" s="3">
        <v>4.99</v>
      </c>
      <c r="F150" s="3" t="s">
        <v>10</v>
      </c>
      <c r="G150" s="3" t="s">
        <v>23</v>
      </c>
      <c r="H150" t="s">
        <v>24</v>
      </c>
      <c r="I150">
        <v>201</v>
      </c>
      <c r="J150" t="e" vm="1">
        <v>#VALUE!</v>
      </c>
      <c r="K150" t="e" cm="1" vm="2">
        <f t="array" aca="1" ref="K150" ca="1">_FV(Table2[[#This Row],[City]],"Country/region",TRUE)</f>
        <v>#VALUE!</v>
      </c>
      <c r="L150">
        <f>Table2[[#This Row],[Quantity]]*Table2[[#This Row],[Price]]</f>
        <v>1002.99</v>
      </c>
    </row>
    <row r="151" spans="2:12" x14ac:dyDescent="0.3">
      <c r="B151" s="3">
        <v>10605</v>
      </c>
      <c r="C151" s="4">
        <v>44903</v>
      </c>
      <c r="D151" t="s">
        <v>15</v>
      </c>
      <c r="E151" s="3">
        <v>12.99</v>
      </c>
      <c r="F151" s="3" t="s">
        <v>10</v>
      </c>
      <c r="G151" s="3" t="s">
        <v>23</v>
      </c>
      <c r="H151" t="s">
        <v>24</v>
      </c>
      <c r="I151">
        <v>539</v>
      </c>
      <c r="J151" t="e" vm="1">
        <v>#VALUE!</v>
      </c>
      <c r="K151" t="e" cm="1" vm="2">
        <f t="array" aca="1" ref="K151" ca="1">_FV(Table2[[#This Row],[City]],"Country/region",TRUE)</f>
        <v>#VALUE!</v>
      </c>
      <c r="L151">
        <f>Table2[[#This Row],[Quantity]]*Table2[[#This Row],[Price]]</f>
        <v>7001.61</v>
      </c>
    </row>
    <row r="152" spans="2:12" x14ac:dyDescent="0.3">
      <c r="B152" s="3">
        <v>10606</v>
      </c>
      <c r="C152" s="4">
        <v>44903</v>
      </c>
      <c r="D152" t="s">
        <v>18</v>
      </c>
      <c r="E152" s="3">
        <v>9.9499999999999993</v>
      </c>
      <c r="F152" s="3" t="s">
        <v>10</v>
      </c>
      <c r="G152" s="3" t="s">
        <v>23</v>
      </c>
      <c r="H152" t="s">
        <v>24</v>
      </c>
      <c r="I152">
        <v>202</v>
      </c>
      <c r="J152" t="e" vm="1">
        <v>#VALUE!</v>
      </c>
      <c r="K152" t="e" cm="1" vm="2">
        <f t="array" aca="1" ref="K152" ca="1">_FV(Table2[[#This Row],[City]],"Country/region",TRUE)</f>
        <v>#VALUE!</v>
      </c>
      <c r="L152">
        <f>Table2[[#This Row],[Quantity]]*Table2[[#This Row],[Price]]</f>
        <v>2009.8999999999999</v>
      </c>
    </row>
    <row r="153" spans="2:12" x14ac:dyDescent="0.3">
      <c r="B153" s="3">
        <v>10607</v>
      </c>
      <c r="C153" s="4">
        <v>44903</v>
      </c>
      <c r="D153" t="s">
        <v>9</v>
      </c>
      <c r="E153" s="3">
        <v>3.49</v>
      </c>
      <c r="F153" s="3" t="s">
        <v>10</v>
      </c>
      <c r="G153" s="3" t="s">
        <v>23</v>
      </c>
      <c r="H153" t="s">
        <v>24</v>
      </c>
      <c r="I153">
        <v>631</v>
      </c>
      <c r="J153" t="e" vm="1">
        <v>#VALUE!</v>
      </c>
      <c r="K153" t="e" cm="1" vm="2">
        <f t="array" aca="1" ref="K153" ca="1">_FV(Table2[[#This Row],[City]],"Country/region",TRUE)</f>
        <v>#VALUE!</v>
      </c>
      <c r="L153">
        <f>Table2[[#This Row],[Quantity]]*Table2[[#This Row],[Price]]</f>
        <v>2202.19</v>
      </c>
    </row>
    <row r="154" spans="2:12" x14ac:dyDescent="0.3">
      <c r="B154" s="3">
        <v>10608</v>
      </c>
      <c r="C154" s="4">
        <v>44903</v>
      </c>
      <c r="D154" t="s">
        <v>12</v>
      </c>
      <c r="E154" s="3">
        <v>2.95</v>
      </c>
      <c r="F154" s="3" t="s">
        <v>10</v>
      </c>
      <c r="G154" s="3" t="s">
        <v>11</v>
      </c>
      <c r="H154" t="s">
        <v>24</v>
      </c>
      <c r="I154">
        <v>678</v>
      </c>
      <c r="J154" t="e" vm="1">
        <v>#VALUE!</v>
      </c>
      <c r="K154" t="e" cm="1" vm="2">
        <f t="array" aca="1" ref="K154" ca="1">_FV(Table2[[#This Row],[City]],"Country/region",TRUE)</f>
        <v>#VALUE!</v>
      </c>
      <c r="L154">
        <f>Table2[[#This Row],[Quantity]]*Table2[[#This Row],[Price]]</f>
        <v>2000.1000000000001</v>
      </c>
    </row>
    <row r="155" spans="2:12" x14ac:dyDescent="0.3">
      <c r="B155" s="3">
        <v>10609</v>
      </c>
      <c r="C155" s="4">
        <v>44903</v>
      </c>
      <c r="D155" t="s">
        <v>13</v>
      </c>
      <c r="E155" s="3">
        <v>4.99</v>
      </c>
      <c r="F155" s="3" t="s">
        <v>10</v>
      </c>
      <c r="G155" s="3" t="s">
        <v>11</v>
      </c>
      <c r="H155" t="s">
        <v>24</v>
      </c>
      <c r="I155">
        <v>201</v>
      </c>
      <c r="J155" t="e" vm="1">
        <v>#VALUE!</v>
      </c>
      <c r="K155" t="e" cm="1" vm="2">
        <f t="array" aca="1" ref="K155" ca="1">_FV(Table2[[#This Row],[City]],"Country/region",TRUE)</f>
        <v>#VALUE!</v>
      </c>
      <c r="L155">
        <f>Table2[[#This Row],[Quantity]]*Table2[[#This Row],[Price]]</f>
        <v>1002.99</v>
      </c>
    </row>
    <row r="156" spans="2:12" x14ac:dyDescent="0.3">
      <c r="B156" s="3">
        <v>10610</v>
      </c>
      <c r="C156" s="4">
        <v>44904</v>
      </c>
      <c r="D156" t="s">
        <v>15</v>
      </c>
      <c r="E156" s="3">
        <v>12.99</v>
      </c>
      <c r="F156" s="3" t="s">
        <v>10</v>
      </c>
      <c r="G156" s="3" t="s">
        <v>11</v>
      </c>
      <c r="H156" t="s">
        <v>24</v>
      </c>
      <c r="I156">
        <v>570</v>
      </c>
      <c r="J156" t="e" vm="1">
        <v>#VALUE!</v>
      </c>
      <c r="K156" t="e" cm="1" vm="2">
        <f t="array" aca="1" ref="K156" ca="1">_FV(Table2[[#This Row],[City]],"Country/region",TRUE)</f>
        <v>#VALUE!</v>
      </c>
      <c r="L156">
        <f>Table2[[#This Row],[Quantity]]*Table2[[#This Row],[Price]]</f>
        <v>7404.3</v>
      </c>
    </row>
    <row r="157" spans="2:12" x14ac:dyDescent="0.3">
      <c r="B157" s="3">
        <v>10611</v>
      </c>
      <c r="C157" s="4">
        <v>44904</v>
      </c>
      <c r="D157" t="s">
        <v>18</v>
      </c>
      <c r="E157" s="3">
        <v>9.9499999999999993</v>
      </c>
      <c r="F157" s="3" t="s">
        <v>10</v>
      </c>
      <c r="G157" s="3" t="s">
        <v>11</v>
      </c>
      <c r="H157" t="s">
        <v>24</v>
      </c>
      <c r="I157">
        <v>202</v>
      </c>
      <c r="J157" t="e" vm="1">
        <v>#VALUE!</v>
      </c>
      <c r="K157" t="e" cm="1" vm="2">
        <f t="array" aca="1" ref="K157" ca="1">_FV(Table2[[#This Row],[City]],"Country/region",TRUE)</f>
        <v>#VALUE!</v>
      </c>
      <c r="L157">
        <f>Table2[[#This Row],[Quantity]]*Table2[[#This Row],[Price]]</f>
        <v>2009.8999999999999</v>
      </c>
    </row>
    <row r="158" spans="2:12" x14ac:dyDescent="0.3">
      <c r="B158" s="3">
        <v>10612</v>
      </c>
      <c r="C158" s="4">
        <v>44904</v>
      </c>
      <c r="D158" t="s">
        <v>9</v>
      </c>
      <c r="E158" s="3">
        <v>3.49</v>
      </c>
      <c r="F158" s="3" t="s">
        <v>10</v>
      </c>
      <c r="G158" s="3" t="s">
        <v>11</v>
      </c>
      <c r="H158" t="s">
        <v>24</v>
      </c>
      <c r="I158">
        <v>631</v>
      </c>
      <c r="J158" t="e" vm="1">
        <v>#VALUE!</v>
      </c>
      <c r="K158" t="e" cm="1" vm="2">
        <f t="array" aca="1" ref="K158" ca="1">_FV(Table2[[#This Row],[City]],"Country/region",TRUE)</f>
        <v>#VALUE!</v>
      </c>
      <c r="L158">
        <f>Table2[[#This Row],[Quantity]]*Table2[[#This Row],[Price]]</f>
        <v>2202.19</v>
      </c>
    </row>
    <row r="159" spans="2:12" x14ac:dyDescent="0.3">
      <c r="B159" s="3">
        <v>10613</v>
      </c>
      <c r="C159" s="4">
        <v>44904</v>
      </c>
      <c r="D159" t="s">
        <v>12</v>
      </c>
      <c r="E159" s="3">
        <v>2.95</v>
      </c>
      <c r="F159" s="3" t="s">
        <v>10</v>
      </c>
      <c r="G159" s="3" t="s">
        <v>11</v>
      </c>
      <c r="H159" t="s">
        <v>24</v>
      </c>
      <c r="I159">
        <v>678</v>
      </c>
      <c r="J159" t="e" vm="1">
        <v>#VALUE!</v>
      </c>
      <c r="K159" t="e" cm="1" vm="2">
        <f t="array" aca="1" ref="K159" ca="1">_FV(Table2[[#This Row],[City]],"Country/region",TRUE)</f>
        <v>#VALUE!</v>
      </c>
      <c r="L159">
        <f>Table2[[#This Row],[Quantity]]*Table2[[#This Row],[Price]]</f>
        <v>2000.1000000000001</v>
      </c>
    </row>
    <row r="160" spans="2:12" x14ac:dyDescent="0.3">
      <c r="B160" s="3">
        <v>10614</v>
      </c>
      <c r="C160" s="4">
        <v>44904</v>
      </c>
      <c r="D160" t="s">
        <v>13</v>
      </c>
      <c r="E160" s="3">
        <v>4.99</v>
      </c>
      <c r="F160" s="3" t="s">
        <v>10</v>
      </c>
      <c r="G160" s="3" t="s">
        <v>11</v>
      </c>
      <c r="H160" t="s">
        <v>24</v>
      </c>
      <c r="I160">
        <v>201</v>
      </c>
      <c r="J160" t="e" vm="1">
        <v>#VALUE!</v>
      </c>
      <c r="K160" t="e" cm="1" vm="2">
        <f t="array" aca="1" ref="K160" ca="1">_FV(Table2[[#This Row],[City]],"Country/region",TRUE)</f>
        <v>#VALUE!</v>
      </c>
      <c r="L160">
        <f>Table2[[#This Row],[Quantity]]*Table2[[#This Row],[Price]]</f>
        <v>1002.99</v>
      </c>
    </row>
    <row r="161" spans="2:12" x14ac:dyDescent="0.3">
      <c r="B161" s="3">
        <v>10615</v>
      </c>
      <c r="C161" s="4">
        <v>44905</v>
      </c>
      <c r="D161" t="s">
        <v>15</v>
      </c>
      <c r="E161" s="3">
        <v>12.99</v>
      </c>
      <c r="F161" s="3" t="s">
        <v>10</v>
      </c>
      <c r="G161" s="3" t="s">
        <v>11</v>
      </c>
      <c r="H161" t="s">
        <v>24</v>
      </c>
      <c r="I161">
        <v>570</v>
      </c>
      <c r="J161" t="e" vm="1">
        <v>#VALUE!</v>
      </c>
      <c r="K161" t="e" cm="1" vm="2">
        <f t="array" aca="1" ref="K161" ca="1">_FV(Table2[[#This Row],[City]],"Country/region",TRUE)</f>
        <v>#VALUE!</v>
      </c>
      <c r="L161">
        <f>Table2[[#This Row],[Quantity]]*Table2[[#This Row],[Price]]</f>
        <v>7404.3</v>
      </c>
    </row>
    <row r="162" spans="2:12" x14ac:dyDescent="0.3">
      <c r="B162" s="3">
        <v>10616</v>
      </c>
      <c r="C162" s="4">
        <v>44905</v>
      </c>
      <c r="D162" t="s">
        <v>18</v>
      </c>
      <c r="E162" s="3">
        <v>9.9499999999999993</v>
      </c>
      <c r="F162" s="3" t="s">
        <v>10</v>
      </c>
      <c r="G162" s="3" t="s">
        <v>11</v>
      </c>
      <c r="H162" t="s">
        <v>24</v>
      </c>
      <c r="I162">
        <v>202</v>
      </c>
      <c r="J162" t="e" vm="1">
        <v>#VALUE!</v>
      </c>
      <c r="K162" t="e" cm="1" vm="2">
        <f t="array" aca="1" ref="K162" ca="1">_FV(Table2[[#This Row],[City]],"Country/region",TRUE)</f>
        <v>#VALUE!</v>
      </c>
      <c r="L162">
        <f>Table2[[#This Row],[Quantity]]*Table2[[#This Row],[Price]]</f>
        <v>2009.8999999999999</v>
      </c>
    </row>
    <row r="163" spans="2:12" x14ac:dyDescent="0.3">
      <c r="B163" s="3">
        <v>10617</v>
      </c>
      <c r="C163" s="4">
        <v>44905</v>
      </c>
      <c r="D163" t="s">
        <v>9</v>
      </c>
      <c r="E163" s="3">
        <v>3.49</v>
      </c>
      <c r="F163" s="3" t="s">
        <v>10</v>
      </c>
      <c r="G163" s="3" t="s">
        <v>11</v>
      </c>
      <c r="H163" t="s">
        <v>24</v>
      </c>
      <c r="I163">
        <v>631</v>
      </c>
      <c r="J163" t="e" vm="1">
        <v>#VALUE!</v>
      </c>
      <c r="K163" t="e" cm="1" vm="2">
        <f t="array" aca="1" ref="K163" ca="1">_FV(Table2[[#This Row],[City]],"Country/region",TRUE)</f>
        <v>#VALUE!</v>
      </c>
      <c r="L163">
        <f>Table2[[#This Row],[Quantity]]*Table2[[#This Row],[Price]]</f>
        <v>2202.19</v>
      </c>
    </row>
    <row r="164" spans="2:12" x14ac:dyDescent="0.3">
      <c r="B164" s="3">
        <v>10618</v>
      </c>
      <c r="C164" s="4">
        <v>44905</v>
      </c>
      <c r="D164" t="s">
        <v>12</v>
      </c>
      <c r="E164" s="3">
        <v>2.95</v>
      </c>
      <c r="F164" s="3" t="s">
        <v>10</v>
      </c>
      <c r="G164" s="3" t="s">
        <v>11</v>
      </c>
      <c r="H164" t="s">
        <v>24</v>
      </c>
      <c r="I164">
        <v>678</v>
      </c>
      <c r="J164" t="e" vm="1">
        <v>#VALUE!</v>
      </c>
      <c r="K164" t="e" cm="1" vm="2">
        <f t="array" aca="1" ref="K164" ca="1">_FV(Table2[[#This Row],[City]],"Country/region",TRUE)</f>
        <v>#VALUE!</v>
      </c>
      <c r="L164">
        <f>Table2[[#This Row],[Quantity]]*Table2[[#This Row],[Price]]</f>
        <v>2000.1000000000001</v>
      </c>
    </row>
    <row r="165" spans="2:12" x14ac:dyDescent="0.3">
      <c r="B165" s="3">
        <v>10619</v>
      </c>
      <c r="C165" s="4">
        <v>44905</v>
      </c>
      <c r="D165" t="s">
        <v>13</v>
      </c>
      <c r="E165" s="3">
        <v>4.99</v>
      </c>
      <c r="F165" s="3" t="s">
        <v>10</v>
      </c>
      <c r="G165" s="3" t="s">
        <v>11</v>
      </c>
      <c r="H165" t="s">
        <v>24</v>
      </c>
      <c r="I165">
        <v>201</v>
      </c>
      <c r="J165" t="e" vm="1">
        <v>#VALUE!</v>
      </c>
      <c r="K165" t="e" cm="1" vm="2">
        <f t="array" aca="1" ref="K165" ca="1">_FV(Table2[[#This Row],[City]],"Country/region",TRUE)</f>
        <v>#VALUE!</v>
      </c>
      <c r="L165">
        <f>Table2[[#This Row],[Quantity]]*Table2[[#This Row],[Price]]</f>
        <v>1002.99</v>
      </c>
    </row>
    <row r="166" spans="2:12" x14ac:dyDescent="0.3">
      <c r="B166" s="3">
        <v>10620</v>
      </c>
      <c r="C166" s="4">
        <v>44906</v>
      </c>
      <c r="D166" t="s">
        <v>15</v>
      </c>
      <c r="E166" s="3">
        <v>12.99</v>
      </c>
      <c r="F166" s="3" t="s">
        <v>10</v>
      </c>
      <c r="G166" s="3" t="s">
        <v>11</v>
      </c>
      <c r="H166" t="s">
        <v>24</v>
      </c>
      <c r="I166">
        <v>586</v>
      </c>
      <c r="J166" t="e" vm="1">
        <v>#VALUE!</v>
      </c>
      <c r="K166" t="e" cm="1" vm="2">
        <f t="array" aca="1" ref="K166" ca="1">_FV(Table2[[#This Row],[City]],"Country/region",TRUE)</f>
        <v>#VALUE!</v>
      </c>
      <c r="L166">
        <f>Table2[[#This Row],[Quantity]]*Table2[[#This Row],[Price]]</f>
        <v>7612.14</v>
      </c>
    </row>
    <row r="167" spans="2:12" x14ac:dyDescent="0.3">
      <c r="B167" s="3">
        <v>10621</v>
      </c>
      <c r="C167" s="4">
        <v>44906</v>
      </c>
      <c r="D167" t="s">
        <v>18</v>
      </c>
      <c r="E167" s="3">
        <v>9.9499999999999993</v>
      </c>
      <c r="F167" s="3" t="s">
        <v>10</v>
      </c>
      <c r="G167" s="3" t="s">
        <v>11</v>
      </c>
      <c r="H167" t="s">
        <v>24</v>
      </c>
      <c r="I167">
        <v>202</v>
      </c>
      <c r="J167" t="e" vm="1">
        <v>#VALUE!</v>
      </c>
      <c r="K167" t="e" cm="1" vm="2">
        <f t="array" aca="1" ref="K167" ca="1">_FV(Table2[[#This Row],[City]],"Country/region",TRUE)</f>
        <v>#VALUE!</v>
      </c>
      <c r="L167">
        <f>Table2[[#This Row],[Quantity]]*Table2[[#This Row],[Price]]</f>
        <v>2009.8999999999999</v>
      </c>
    </row>
    <row r="168" spans="2:12" x14ac:dyDescent="0.3">
      <c r="B168" s="3">
        <v>10622</v>
      </c>
      <c r="C168" s="4">
        <v>44906</v>
      </c>
      <c r="D168" t="s">
        <v>9</v>
      </c>
      <c r="E168" s="3">
        <v>3.49</v>
      </c>
      <c r="F168" s="3" t="s">
        <v>10</v>
      </c>
      <c r="G168" s="3" t="s">
        <v>11</v>
      </c>
      <c r="H168" t="s">
        <v>24</v>
      </c>
      <c r="I168">
        <v>631</v>
      </c>
      <c r="J168" t="e" vm="1">
        <v>#VALUE!</v>
      </c>
      <c r="K168" t="e" cm="1" vm="2">
        <f t="array" aca="1" ref="K168" ca="1">_FV(Table2[[#This Row],[City]],"Country/region",TRUE)</f>
        <v>#VALUE!</v>
      </c>
      <c r="L168">
        <f>Table2[[#This Row],[Quantity]]*Table2[[#This Row],[Price]]</f>
        <v>2202.19</v>
      </c>
    </row>
    <row r="169" spans="2:12" x14ac:dyDescent="0.3">
      <c r="B169" s="3">
        <v>10623</v>
      </c>
      <c r="C169" s="4">
        <v>44906</v>
      </c>
      <c r="D169" t="s">
        <v>12</v>
      </c>
      <c r="E169" s="3">
        <v>2.95</v>
      </c>
      <c r="F169" s="3" t="s">
        <v>10</v>
      </c>
      <c r="G169" s="3" t="s">
        <v>11</v>
      </c>
      <c r="H169" t="s">
        <v>24</v>
      </c>
      <c r="I169">
        <v>746</v>
      </c>
      <c r="J169" t="e" vm="1">
        <v>#VALUE!</v>
      </c>
      <c r="K169" t="e" cm="1" vm="2">
        <f t="array" aca="1" ref="K169" ca="1">_FV(Table2[[#This Row],[City]],"Country/region",TRUE)</f>
        <v>#VALUE!</v>
      </c>
      <c r="L169">
        <f>Table2[[#This Row],[Quantity]]*Table2[[#This Row],[Price]]</f>
        <v>2200.7000000000003</v>
      </c>
    </row>
    <row r="170" spans="2:12" x14ac:dyDescent="0.3">
      <c r="B170" s="3">
        <v>10624</v>
      </c>
      <c r="C170" s="4">
        <v>44906</v>
      </c>
      <c r="D170" t="s">
        <v>13</v>
      </c>
      <c r="E170" s="3">
        <v>4.99</v>
      </c>
      <c r="F170" s="3" t="s">
        <v>10</v>
      </c>
      <c r="G170" s="3" t="s">
        <v>11</v>
      </c>
      <c r="H170" t="s">
        <v>24</v>
      </c>
      <c r="I170">
        <v>201</v>
      </c>
      <c r="J170" t="e" vm="1">
        <v>#VALUE!</v>
      </c>
      <c r="K170" t="e" cm="1" vm="2">
        <f t="array" aca="1" ref="K170" ca="1">_FV(Table2[[#This Row],[City]],"Country/region",TRUE)</f>
        <v>#VALUE!</v>
      </c>
      <c r="L170">
        <f>Table2[[#This Row],[Quantity]]*Table2[[#This Row],[Price]]</f>
        <v>1002.99</v>
      </c>
    </row>
    <row r="171" spans="2:12" x14ac:dyDescent="0.3">
      <c r="B171" s="3">
        <v>10625</v>
      </c>
      <c r="C171" s="4">
        <v>44907</v>
      </c>
      <c r="D171" t="s">
        <v>15</v>
      </c>
      <c r="E171" s="3">
        <v>12.99</v>
      </c>
      <c r="F171" s="3" t="s">
        <v>10</v>
      </c>
      <c r="G171" s="3" t="s">
        <v>11</v>
      </c>
      <c r="H171" t="s">
        <v>24</v>
      </c>
      <c r="I171">
        <v>570</v>
      </c>
      <c r="J171" t="e" vm="1">
        <v>#VALUE!</v>
      </c>
      <c r="K171" t="e" cm="1" vm="2">
        <f t="array" aca="1" ref="K171" ca="1">_FV(Table2[[#This Row],[City]],"Country/region",TRUE)</f>
        <v>#VALUE!</v>
      </c>
      <c r="L171">
        <f>Table2[[#This Row],[Quantity]]*Table2[[#This Row],[Price]]</f>
        <v>7404.3</v>
      </c>
    </row>
    <row r="172" spans="2:12" x14ac:dyDescent="0.3">
      <c r="B172" s="3">
        <v>10626</v>
      </c>
      <c r="C172" s="4">
        <v>44907</v>
      </c>
      <c r="D172" t="s">
        <v>18</v>
      </c>
      <c r="E172" s="3">
        <v>9.9499999999999993</v>
      </c>
      <c r="F172" s="3" t="s">
        <v>10</v>
      </c>
      <c r="G172" s="3" t="s">
        <v>11</v>
      </c>
      <c r="H172" t="s">
        <v>24</v>
      </c>
      <c r="I172">
        <v>202</v>
      </c>
      <c r="J172" t="e" vm="1">
        <v>#VALUE!</v>
      </c>
      <c r="K172" t="e" cm="1" vm="2">
        <f t="array" aca="1" ref="K172" ca="1">_FV(Table2[[#This Row],[City]],"Country/region",TRUE)</f>
        <v>#VALUE!</v>
      </c>
      <c r="L172">
        <f>Table2[[#This Row],[Quantity]]*Table2[[#This Row],[Price]]</f>
        <v>2009.8999999999999</v>
      </c>
    </row>
    <row r="173" spans="2:12" x14ac:dyDescent="0.3">
      <c r="B173" s="3">
        <v>10627</v>
      </c>
      <c r="C173" s="4">
        <v>44907</v>
      </c>
      <c r="D173" t="s">
        <v>9</v>
      </c>
      <c r="E173" s="3">
        <v>3.49</v>
      </c>
      <c r="F173" s="3" t="s">
        <v>10</v>
      </c>
      <c r="G173" s="3" t="s">
        <v>11</v>
      </c>
      <c r="H173" t="s">
        <v>24</v>
      </c>
      <c r="I173">
        <v>631</v>
      </c>
      <c r="J173" t="e" vm="1">
        <v>#VALUE!</v>
      </c>
      <c r="K173" t="e" cm="1" vm="2">
        <f t="array" aca="1" ref="K173" ca="1">_FV(Table2[[#This Row],[City]],"Country/region",TRUE)</f>
        <v>#VALUE!</v>
      </c>
      <c r="L173">
        <f>Table2[[#This Row],[Quantity]]*Table2[[#This Row],[Price]]</f>
        <v>2202.19</v>
      </c>
    </row>
    <row r="174" spans="2:12" x14ac:dyDescent="0.3">
      <c r="B174" s="3">
        <v>10628</v>
      </c>
      <c r="C174" s="4">
        <v>44907</v>
      </c>
      <c r="D174" t="s">
        <v>12</v>
      </c>
      <c r="E174" s="3">
        <v>2.95</v>
      </c>
      <c r="F174" s="3" t="s">
        <v>10</v>
      </c>
      <c r="G174" s="3" t="s">
        <v>11</v>
      </c>
      <c r="H174" t="s">
        <v>21</v>
      </c>
      <c r="I174">
        <v>678</v>
      </c>
      <c r="J174" t="e" vm="5">
        <v>#VALUE!</v>
      </c>
      <c r="K174" t="e" cm="1" vm="6">
        <f t="array" aca="1" ref="K174" ca="1">_FV(Table2[[#This Row],[City]],"Country/region",TRUE)</f>
        <v>#VALUE!</v>
      </c>
      <c r="L174">
        <f>Table2[[#This Row],[Quantity]]*Table2[[#This Row],[Price]]</f>
        <v>2000.1000000000001</v>
      </c>
    </row>
    <row r="175" spans="2:12" x14ac:dyDescent="0.3">
      <c r="B175" s="3">
        <v>10629</v>
      </c>
      <c r="C175" s="4">
        <v>44907</v>
      </c>
      <c r="D175" t="s">
        <v>13</v>
      </c>
      <c r="E175" s="3">
        <v>4.99</v>
      </c>
      <c r="F175" s="3" t="s">
        <v>10</v>
      </c>
      <c r="G175" s="3" t="s">
        <v>11</v>
      </c>
      <c r="H175" t="s">
        <v>21</v>
      </c>
      <c r="I175">
        <v>201</v>
      </c>
      <c r="J175" t="e" vm="5">
        <v>#VALUE!</v>
      </c>
      <c r="K175" t="e" cm="1" vm="6">
        <f t="array" aca="1" ref="K175" ca="1">_FV(Table2[[#This Row],[City]],"Country/region",TRUE)</f>
        <v>#VALUE!</v>
      </c>
      <c r="L175">
        <f>Table2[[#This Row],[Quantity]]*Table2[[#This Row],[Price]]</f>
        <v>1002.99</v>
      </c>
    </row>
    <row r="176" spans="2:12" x14ac:dyDescent="0.3">
      <c r="B176" s="3">
        <v>10630</v>
      </c>
      <c r="C176" s="4">
        <v>44908</v>
      </c>
      <c r="D176" t="s">
        <v>15</v>
      </c>
      <c r="E176" s="3">
        <v>12.99</v>
      </c>
      <c r="F176" s="3" t="s">
        <v>10</v>
      </c>
      <c r="G176" s="3" t="s">
        <v>23</v>
      </c>
      <c r="H176" t="s">
        <v>21</v>
      </c>
      <c r="I176">
        <v>570</v>
      </c>
      <c r="J176" t="e" vm="5">
        <v>#VALUE!</v>
      </c>
      <c r="K176" t="e" cm="1" vm="6">
        <f t="array" aca="1" ref="K176" ca="1">_FV(Table2[[#This Row],[City]],"Country/region",TRUE)</f>
        <v>#VALUE!</v>
      </c>
      <c r="L176">
        <f>Table2[[#This Row],[Quantity]]*Table2[[#This Row],[Price]]</f>
        <v>7404.3</v>
      </c>
    </row>
    <row r="177" spans="2:12" x14ac:dyDescent="0.3">
      <c r="B177" s="3">
        <v>10631</v>
      </c>
      <c r="C177" s="4">
        <v>44908</v>
      </c>
      <c r="D177" t="s">
        <v>18</v>
      </c>
      <c r="E177" s="3">
        <v>9.9499999999999993</v>
      </c>
      <c r="F177" s="3" t="s">
        <v>10</v>
      </c>
      <c r="G177" s="3" t="s">
        <v>11</v>
      </c>
      <c r="H177" t="s">
        <v>21</v>
      </c>
      <c r="I177">
        <v>202</v>
      </c>
      <c r="J177" t="e" vm="5">
        <v>#VALUE!</v>
      </c>
      <c r="K177" t="e" cm="1" vm="6">
        <f t="array" aca="1" ref="K177" ca="1">_FV(Table2[[#This Row],[City]],"Country/region",TRUE)</f>
        <v>#VALUE!</v>
      </c>
      <c r="L177">
        <f>Table2[[#This Row],[Quantity]]*Table2[[#This Row],[Price]]</f>
        <v>2009.8999999999999</v>
      </c>
    </row>
    <row r="178" spans="2:12" x14ac:dyDescent="0.3">
      <c r="B178" s="3">
        <v>10632</v>
      </c>
      <c r="C178" s="4">
        <v>44908</v>
      </c>
      <c r="D178" t="s">
        <v>9</v>
      </c>
      <c r="E178" s="3">
        <v>3.49</v>
      </c>
      <c r="F178" s="3" t="s">
        <v>10</v>
      </c>
      <c r="G178" s="3" t="s">
        <v>11</v>
      </c>
      <c r="H178" t="s">
        <v>21</v>
      </c>
      <c r="I178">
        <v>631</v>
      </c>
      <c r="J178" t="e" vm="5">
        <v>#VALUE!</v>
      </c>
      <c r="K178" t="e" cm="1" vm="6">
        <f t="array" aca="1" ref="K178" ca="1">_FV(Table2[[#This Row],[City]],"Country/region",TRUE)</f>
        <v>#VALUE!</v>
      </c>
      <c r="L178">
        <f>Table2[[#This Row],[Quantity]]*Table2[[#This Row],[Price]]</f>
        <v>2202.19</v>
      </c>
    </row>
    <row r="179" spans="2:12" x14ac:dyDescent="0.3">
      <c r="B179" s="3">
        <v>10633</v>
      </c>
      <c r="C179" s="4">
        <v>44908</v>
      </c>
      <c r="D179" t="s">
        <v>12</v>
      </c>
      <c r="E179" s="3">
        <v>2.95</v>
      </c>
      <c r="F179" s="3" t="s">
        <v>10</v>
      </c>
      <c r="G179" s="3" t="s">
        <v>11</v>
      </c>
      <c r="H179" t="s">
        <v>21</v>
      </c>
      <c r="I179">
        <v>678</v>
      </c>
      <c r="J179" t="e" vm="5">
        <v>#VALUE!</v>
      </c>
      <c r="K179" t="e" cm="1" vm="6">
        <f t="array" aca="1" ref="K179" ca="1">_FV(Table2[[#This Row],[City]],"Country/region",TRUE)</f>
        <v>#VALUE!</v>
      </c>
      <c r="L179">
        <f>Table2[[#This Row],[Quantity]]*Table2[[#This Row],[Price]]</f>
        <v>2000.1000000000001</v>
      </c>
    </row>
    <row r="180" spans="2:12" x14ac:dyDescent="0.3">
      <c r="B180" s="3">
        <v>10634</v>
      </c>
      <c r="C180" s="4">
        <v>44908</v>
      </c>
      <c r="D180" t="s">
        <v>13</v>
      </c>
      <c r="E180" s="3">
        <v>4.99</v>
      </c>
      <c r="F180" s="3" t="s">
        <v>10</v>
      </c>
      <c r="G180" s="3" t="s">
        <v>11</v>
      </c>
      <c r="H180" t="s">
        <v>21</v>
      </c>
      <c r="I180">
        <v>201</v>
      </c>
      <c r="J180" t="e" vm="5">
        <v>#VALUE!</v>
      </c>
      <c r="K180" t="e" cm="1" vm="6">
        <f t="array" aca="1" ref="K180" ca="1">_FV(Table2[[#This Row],[City]],"Country/region",TRUE)</f>
        <v>#VALUE!</v>
      </c>
      <c r="L180">
        <f>Table2[[#This Row],[Quantity]]*Table2[[#This Row],[Price]]</f>
        <v>1002.99</v>
      </c>
    </row>
    <row r="181" spans="2:12" x14ac:dyDescent="0.3">
      <c r="B181" s="3">
        <v>10635</v>
      </c>
      <c r="C181" s="4">
        <v>44909</v>
      </c>
      <c r="D181" t="s">
        <v>15</v>
      </c>
      <c r="E181" s="3">
        <v>12.99</v>
      </c>
      <c r="F181" s="3" t="s">
        <v>10</v>
      </c>
      <c r="G181" s="3" t="s">
        <v>11</v>
      </c>
      <c r="H181" t="s">
        <v>21</v>
      </c>
      <c r="I181">
        <v>555</v>
      </c>
      <c r="J181" t="e" vm="5">
        <v>#VALUE!</v>
      </c>
      <c r="K181" t="e" cm="1" vm="6">
        <f t="array" aca="1" ref="K181" ca="1">_FV(Table2[[#This Row],[City]],"Country/region",TRUE)</f>
        <v>#VALUE!</v>
      </c>
      <c r="L181">
        <f>Table2[[#This Row],[Quantity]]*Table2[[#This Row],[Price]]</f>
        <v>7209.45</v>
      </c>
    </row>
    <row r="182" spans="2:12" x14ac:dyDescent="0.3">
      <c r="B182" s="3">
        <v>10636</v>
      </c>
      <c r="C182" s="4">
        <v>44909</v>
      </c>
      <c r="D182" t="s">
        <v>18</v>
      </c>
      <c r="E182" s="3">
        <v>9.9499999999999993</v>
      </c>
      <c r="F182" s="3" t="s">
        <v>10</v>
      </c>
      <c r="G182" s="3" t="s">
        <v>11</v>
      </c>
      <c r="H182" t="s">
        <v>21</v>
      </c>
      <c r="I182">
        <v>222</v>
      </c>
      <c r="J182" t="e" vm="5">
        <v>#VALUE!</v>
      </c>
      <c r="K182" t="e" cm="1" vm="6">
        <f t="array" aca="1" ref="K182" ca="1">_FV(Table2[[#This Row],[City]],"Country/region",TRUE)</f>
        <v>#VALUE!</v>
      </c>
      <c r="L182">
        <f>Table2[[#This Row],[Quantity]]*Table2[[#This Row],[Price]]</f>
        <v>2208.8999999999996</v>
      </c>
    </row>
    <row r="183" spans="2:12" x14ac:dyDescent="0.3">
      <c r="B183" s="3">
        <v>10637</v>
      </c>
      <c r="C183" s="4">
        <v>44909</v>
      </c>
      <c r="D183" t="s">
        <v>9</v>
      </c>
      <c r="E183" s="3">
        <v>3.49</v>
      </c>
      <c r="F183" s="3" t="s">
        <v>10</v>
      </c>
      <c r="G183" s="3" t="s">
        <v>11</v>
      </c>
      <c r="H183" t="s">
        <v>21</v>
      </c>
      <c r="I183">
        <v>631</v>
      </c>
      <c r="J183" t="e" vm="5">
        <v>#VALUE!</v>
      </c>
      <c r="K183" t="e" cm="1" vm="6">
        <f t="array" aca="1" ref="K183" ca="1">_FV(Table2[[#This Row],[City]],"Country/region",TRUE)</f>
        <v>#VALUE!</v>
      </c>
      <c r="L183">
        <f>Table2[[#This Row],[Quantity]]*Table2[[#This Row],[Price]]</f>
        <v>2202.19</v>
      </c>
    </row>
    <row r="184" spans="2:12" x14ac:dyDescent="0.3">
      <c r="B184" s="3">
        <v>10638</v>
      </c>
      <c r="C184" s="4">
        <v>44909</v>
      </c>
      <c r="D184" t="s">
        <v>12</v>
      </c>
      <c r="E184" s="3">
        <v>2.95</v>
      </c>
      <c r="F184" s="3" t="s">
        <v>10</v>
      </c>
      <c r="G184" s="3" t="s">
        <v>11</v>
      </c>
      <c r="H184" t="s">
        <v>21</v>
      </c>
      <c r="I184">
        <v>678</v>
      </c>
      <c r="J184" t="e" vm="5">
        <v>#VALUE!</v>
      </c>
      <c r="K184" t="e" cm="1" vm="6">
        <f t="array" aca="1" ref="K184" ca="1">_FV(Table2[[#This Row],[City]],"Country/region",TRUE)</f>
        <v>#VALUE!</v>
      </c>
      <c r="L184">
        <f>Table2[[#This Row],[Quantity]]*Table2[[#This Row],[Price]]</f>
        <v>2000.1000000000001</v>
      </c>
    </row>
    <row r="185" spans="2:12" x14ac:dyDescent="0.3">
      <c r="B185" s="3">
        <v>10639</v>
      </c>
      <c r="C185" s="4">
        <v>44909</v>
      </c>
      <c r="D185" t="s">
        <v>13</v>
      </c>
      <c r="E185" s="3">
        <v>4.99</v>
      </c>
      <c r="F185" s="3" t="s">
        <v>10</v>
      </c>
      <c r="G185" s="3" t="s">
        <v>11</v>
      </c>
      <c r="H185" t="s">
        <v>21</v>
      </c>
      <c r="I185">
        <v>201</v>
      </c>
      <c r="J185" t="e" vm="5">
        <v>#VALUE!</v>
      </c>
      <c r="K185" t="e" cm="1" vm="6">
        <f t="array" aca="1" ref="K185" ca="1">_FV(Table2[[#This Row],[City]],"Country/region",TRUE)</f>
        <v>#VALUE!</v>
      </c>
      <c r="L185">
        <f>Table2[[#This Row],[Quantity]]*Table2[[#This Row],[Price]]</f>
        <v>1002.99</v>
      </c>
    </row>
    <row r="186" spans="2:12" x14ac:dyDescent="0.3">
      <c r="B186" s="3">
        <v>10640</v>
      </c>
      <c r="C186" s="4">
        <v>44910</v>
      </c>
      <c r="D186" t="s">
        <v>15</v>
      </c>
      <c r="E186" s="3">
        <v>12.99</v>
      </c>
      <c r="F186" s="3" t="s">
        <v>10</v>
      </c>
      <c r="G186" s="3" t="s">
        <v>11</v>
      </c>
      <c r="H186" t="s">
        <v>21</v>
      </c>
      <c r="I186">
        <v>539</v>
      </c>
      <c r="J186" t="e" vm="5">
        <v>#VALUE!</v>
      </c>
      <c r="K186" t="e" cm="1" vm="6">
        <f t="array" aca="1" ref="K186" ca="1">_FV(Table2[[#This Row],[City]],"Country/region",TRUE)</f>
        <v>#VALUE!</v>
      </c>
      <c r="L186">
        <f>Table2[[#This Row],[Quantity]]*Table2[[#This Row],[Price]]</f>
        <v>7001.61</v>
      </c>
    </row>
    <row r="187" spans="2:12" x14ac:dyDescent="0.3">
      <c r="B187" s="3">
        <v>10641</v>
      </c>
      <c r="C187" s="4">
        <v>44910</v>
      </c>
      <c r="D187" t="s">
        <v>18</v>
      </c>
      <c r="E187" s="3">
        <v>9.9499999999999993</v>
      </c>
      <c r="F187" s="3" t="s">
        <v>10</v>
      </c>
      <c r="G187" s="3" t="s">
        <v>11</v>
      </c>
      <c r="H187" t="s">
        <v>21</v>
      </c>
      <c r="I187">
        <v>222</v>
      </c>
      <c r="J187" t="e" vm="5">
        <v>#VALUE!</v>
      </c>
      <c r="K187" t="e" cm="1" vm="6">
        <f t="array" aca="1" ref="K187" ca="1">_FV(Table2[[#This Row],[City]],"Country/region",TRUE)</f>
        <v>#VALUE!</v>
      </c>
      <c r="L187">
        <f>Table2[[#This Row],[Quantity]]*Table2[[#This Row],[Price]]</f>
        <v>2208.8999999999996</v>
      </c>
    </row>
    <row r="188" spans="2:12" x14ac:dyDescent="0.3">
      <c r="B188" s="3">
        <v>10642</v>
      </c>
      <c r="C188" s="4">
        <v>44910</v>
      </c>
      <c r="D188" t="s">
        <v>9</v>
      </c>
      <c r="E188" s="3">
        <v>3.49</v>
      </c>
      <c r="F188" s="3" t="s">
        <v>10</v>
      </c>
      <c r="G188" s="3" t="s">
        <v>23</v>
      </c>
      <c r="H188" t="s">
        <v>21</v>
      </c>
      <c r="I188">
        <v>631</v>
      </c>
      <c r="J188" t="e" vm="5">
        <v>#VALUE!</v>
      </c>
      <c r="K188" t="e" cm="1" vm="6">
        <f t="array" aca="1" ref="K188" ca="1">_FV(Table2[[#This Row],[City]],"Country/region",TRUE)</f>
        <v>#VALUE!</v>
      </c>
      <c r="L188">
        <f>Table2[[#This Row],[Quantity]]*Table2[[#This Row],[Price]]</f>
        <v>2202.19</v>
      </c>
    </row>
    <row r="189" spans="2:12" x14ac:dyDescent="0.3">
      <c r="B189" s="3">
        <v>10643</v>
      </c>
      <c r="C189" s="4">
        <v>44910</v>
      </c>
      <c r="D189" t="s">
        <v>12</v>
      </c>
      <c r="E189" s="3">
        <v>2.95</v>
      </c>
      <c r="F189" s="3" t="s">
        <v>10</v>
      </c>
      <c r="G189" s="3" t="s">
        <v>23</v>
      </c>
      <c r="H189" t="s">
        <v>21</v>
      </c>
      <c r="I189">
        <v>678</v>
      </c>
      <c r="J189" t="e" vm="5">
        <v>#VALUE!</v>
      </c>
      <c r="K189" t="e" cm="1" vm="6">
        <f t="array" aca="1" ref="K189" ca="1">_FV(Table2[[#This Row],[City]],"Country/region",TRUE)</f>
        <v>#VALUE!</v>
      </c>
      <c r="L189">
        <f>Table2[[#This Row],[Quantity]]*Table2[[#This Row],[Price]]</f>
        <v>2000.1000000000001</v>
      </c>
    </row>
    <row r="190" spans="2:12" x14ac:dyDescent="0.3">
      <c r="B190" s="3">
        <v>10644</v>
      </c>
      <c r="C190" s="4">
        <v>44910</v>
      </c>
      <c r="D190" t="s">
        <v>13</v>
      </c>
      <c r="E190" s="3">
        <v>4.99</v>
      </c>
      <c r="F190" s="3" t="s">
        <v>10</v>
      </c>
      <c r="G190" s="3" t="s">
        <v>23</v>
      </c>
      <c r="H190" t="s">
        <v>21</v>
      </c>
      <c r="I190">
        <v>201</v>
      </c>
      <c r="J190" t="e" vm="5">
        <v>#VALUE!</v>
      </c>
      <c r="K190" t="e" cm="1" vm="6">
        <f t="array" aca="1" ref="K190" ca="1">_FV(Table2[[#This Row],[City]],"Country/region",TRUE)</f>
        <v>#VALUE!</v>
      </c>
      <c r="L190">
        <f>Table2[[#This Row],[Quantity]]*Table2[[#This Row],[Price]]</f>
        <v>1002.99</v>
      </c>
    </row>
    <row r="191" spans="2:12" x14ac:dyDescent="0.3">
      <c r="B191" s="3">
        <v>10645</v>
      </c>
      <c r="C191" s="4">
        <v>44911</v>
      </c>
      <c r="D191" t="s">
        <v>15</v>
      </c>
      <c r="E191" s="3">
        <v>12.99</v>
      </c>
      <c r="F191" s="3" t="s">
        <v>10</v>
      </c>
      <c r="G191" s="3" t="s">
        <v>23</v>
      </c>
      <c r="H191" t="s">
        <v>21</v>
      </c>
      <c r="I191">
        <v>570</v>
      </c>
      <c r="J191" t="e" vm="5">
        <v>#VALUE!</v>
      </c>
      <c r="K191" t="e" cm="1" vm="6">
        <f t="array" aca="1" ref="K191" ca="1">_FV(Table2[[#This Row],[City]],"Country/region",TRUE)</f>
        <v>#VALUE!</v>
      </c>
      <c r="L191">
        <f>Table2[[#This Row],[Quantity]]*Table2[[#This Row],[Price]]</f>
        <v>7404.3</v>
      </c>
    </row>
    <row r="192" spans="2:12" x14ac:dyDescent="0.3">
      <c r="B192" s="3">
        <v>10646</v>
      </c>
      <c r="C192" s="4">
        <v>44911</v>
      </c>
      <c r="D192" t="s">
        <v>18</v>
      </c>
      <c r="E192" s="3">
        <v>9.9499999999999993</v>
      </c>
      <c r="F192" s="3" t="s">
        <v>10</v>
      </c>
      <c r="G192" s="3" t="s">
        <v>23</v>
      </c>
      <c r="H192" t="s">
        <v>21</v>
      </c>
      <c r="I192">
        <v>222</v>
      </c>
      <c r="J192" t="e" vm="5">
        <v>#VALUE!</v>
      </c>
      <c r="K192" t="e" cm="1" vm="6">
        <f t="array" aca="1" ref="K192" ca="1">_FV(Table2[[#This Row],[City]],"Country/region",TRUE)</f>
        <v>#VALUE!</v>
      </c>
      <c r="L192">
        <f>Table2[[#This Row],[Quantity]]*Table2[[#This Row],[Price]]</f>
        <v>2208.8999999999996</v>
      </c>
    </row>
    <row r="193" spans="2:12" x14ac:dyDescent="0.3">
      <c r="B193" s="3">
        <v>10647</v>
      </c>
      <c r="C193" s="4">
        <v>44911</v>
      </c>
      <c r="D193" t="s">
        <v>9</v>
      </c>
      <c r="E193" s="3">
        <v>3.49</v>
      </c>
      <c r="F193" s="3" t="s">
        <v>10</v>
      </c>
      <c r="G193" s="3" t="s">
        <v>11</v>
      </c>
      <c r="H193" t="s">
        <v>21</v>
      </c>
      <c r="I193">
        <v>631</v>
      </c>
      <c r="J193" t="e" vm="5">
        <v>#VALUE!</v>
      </c>
      <c r="K193" t="e" cm="1" vm="6">
        <f t="array" aca="1" ref="K193" ca="1">_FV(Table2[[#This Row],[City]],"Country/region",TRUE)</f>
        <v>#VALUE!</v>
      </c>
      <c r="L193">
        <f>Table2[[#This Row],[Quantity]]*Table2[[#This Row],[Price]]</f>
        <v>2202.19</v>
      </c>
    </row>
    <row r="194" spans="2:12" x14ac:dyDescent="0.3">
      <c r="B194" s="3">
        <v>10648</v>
      </c>
      <c r="C194" s="4">
        <v>44911</v>
      </c>
      <c r="D194" t="s">
        <v>12</v>
      </c>
      <c r="E194" s="3">
        <v>2.95</v>
      </c>
      <c r="F194" s="3" t="s">
        <v>10</v>
      </c>
      <c r="G194" s="3" t="s">
        <v>11</v>
      </c>
      <c r="H194" t="s">
        <v>21</v>
      </c>
      <c r="I194">
        <v>746</v>
      </c>
      <c r="J194" t="e" vm="5">
        <v>#VALUE!</v>
      </c>
      <c r="K194" t="e" cm="1" vm="6">
        <f t="array" aca="1" ref="K194" ca="1">_FV(Table2[[#This Row],[City]],"Country/region",TRUE)</f>
        <v>#VALUE!</v>
      </c>
      <c r="L194">
        <f>Table2[[#This Row],[Quantity]]*Table2[[#This Row],[Price]]</f>
        <v>2200.7000000000003</v>
      </c>
    </row>
    <row r="195" spans="2:12" x14ac:dyDescent="0.3">
      <c r="B195" s="3">
        <v>10649</v>
      </c>
      <c r="C195" s="4">
        <v>44911</v>
      </c>
      <c r="D195" t="s">
        <v>13</v>
      </c>
      <c r="E195" s="3">
        <v>4.99</v>
      </c>
      <c r="F195" s="3" t="s">
        <v>10</v>
      </c>
      <c r="G195" s="3" t="s">
        <v>11</v>
      </c>
      <c r="H195" t="s">
        <v>21</v>
      </c>
      <c r="I195">
        <v>201</v>
      </c>
      <c r="J195" t="e" vm="5">
        <v>#VALUE!</v>
      </c>
      <c r="K195" t="e" cm="1" vm="6">
        <f t="array" aca="1" ref="K195" ca="1">_FV(Table2[[#This Row],[City]],"Country/region",TRUE)</f>
        <v>#VALUE!</v>
      </c>
      <c r="L195">
        <f>Table2[[#This Row],[Quantity]]*Table2[[#This Row],[Price]]</f>
        <v>1002.99</v>
      </c>
    </row>
    <row r="196" spans="2:12" x14ac:dyDescent="0.3">
      <c r="B196" s="3">
        <v>10650</v>
      </c>
      <c r="C196" s="4">
        <v>44912</v>
      </c>
      <c r="D196" t="s">
        <v>15</v>
      </c>
      <c r="E196" s="3">
        <v>12.99</v>
      </c>
      <c r="F196" s="3" t="s">
        <v>10</v>
      </c>
      <c r="G196" s="3" t="s">
        <v>11</v>
      </c>
      <c r="H196" t="s">
        <v>21</v>
      </c>
      <c r="I196">
        <v>586</v>
      </c>
      <c r="J196" t="e" vm="5">
        <v>#VALUE!</v>
      </c>
      <c r="K196" t="e" cm="1" vm="6">
        <f t="array" aca="1" ref="K196" ca="1">_FV(Table2[[#This Row],[City]],"Country/region",TRUE)</f>
        <v>#VALUE!</v>
      </c>
      <c r="L196">
        <f>Table2[[#This Row],[Quantity]]*Table2[[#This Row],[Price]]</f>
        <v>7612.14</v>
      </c>
    </row>
    <row r="197" spans="2:12" x14ac:dyDescent="0.3">
      <c r="B197" s="3">
        <v>10651</v>
      </c>
      <c r="C197" s="4">
        <v>44912</v>
      </c>
      <c r="D197" t="s">
        <v>18</v>
      </c>
      <c r="E197" s="3">
        <v>9.9499999999999993</v>
      </c>
      <c r="F197" s="3" t="s">
        <v>10</v>
      </c>
      <c r="G197" s="3" t="s">
        <v>11</v>
      </c>
      <c r="H197" t="s">
        <v>21</v>
      </c>
      <c r="I197">
        <v>222</v>
      </c>
      <c r="J197" t="e" vm="5">
        <v>#VALUE!</v>
      </c>
      <c r="K197" t="e" cm="1" vm="6">
        <f t="array" aca="1" ref="K197" ca="1">_FV(Table2[[#This Row],[City]],"Country/region",TRUE)</f>
        <v>#VALUE!</v>
      </c>
      <c r="L197">
        <f>Table2[[#This Row],[Quantity]]*Table2[[#This Row],[Price]]</f>
        <v>2208.8999999999996</v>
      </c>
    </row>
    <row r="198" spans="2:12" x14ac:dyDescent="0.3">
      <c r="B198" s="3">
        <v>10652</v>
      </c>
      <c r="C198" s="4">
        <v>44912</v>
      </c>
      <c r="D198" t="s">
        <v>9</v>
      </c>
      <c r="E198" s="3">
        <v>3.49</v>
      </c>
      <c r="F198" s="3" t="s">
        <v>10</v>
      </c>
      <c r="G198" s="3" t="s">
        <v>11</v>
      </c>
      <c r="H198" t="s">
        <v>21</v>
      </c>
      <c r="I198">
        <v>688</v>
      </c>
      <c r="J198" t="e" vm="5">
        <v>#VALUE!</v>
      </c>
      <c r="K198" t="e" cm="1" vm="6">
        <f t="array" aca="1" ref="K198" ca="1">_FV(Table2[[#This Row],[City]],"Country/region",TRUE)</f>
        <v>#VALUE!</v>
      </c>
      <c r="L198">
        <f>Table2[[#This Row],[Quantity]]*Table2[[#This Row],[Price]]</f>
        <v>2401.1200000000003</v>
      </c>
    </row>
    <row r="199" spans="2:12" x14ac:dyDescent="0.3">
      <c r="B199" s="3">
        <v>10653</v>
      </c>
      <c r="C199" s="4">
        <v>44912</v>
      </c>
      <c r="D199" t="s">
        <v>12</v>
      </c>
      <c r="E199" s="3">
        <v>2.95</v>
      </c>
      <c r="F199" s="3" t="s">
        <v>10</v>
      </c>
      <c r="G199" s="3" t="s">
        <v>11</v>
      </c>
      <c r="H199" t="s">
        <v>21</v>
      </c>
      <c r="I199">
        <v>746</v>
      </c>
      <c r="J199" t="e" vm="5">
        <v>#VALUE!</v>
      </c>
      <c r="K199" t="e" cm="1" vm="6">
        <f t="array" aca="1" ref="K199" ca="1">_FV(Table2[[#This Row],[City]],"Country/region",TRUE)</f>
        <v>#VALUE!</v>
      </c>
      <c r="L199">
        <f>Table2[[#This Row],[Quantity]]*Table2[[#This Row],[Price]]</f>
        <v>2200.7000000000003</v>
      </c>
    </row>
    <row r="200" spans="2:12" x14ac:dyDescent="0.3">
      <c r="B200" s="3">
        <v>10654</v>
      </c>
      <c r="C200" s="4">
        <v>44912</v>
      </c>
      <c r="D200" t="s">
        <v>13</v>
      </c>
      <c r="E200" s="3">
        <v>4.99</v>
      </c>
      <c r="F200" s="3" t="s">
        <v>10</v>
      </c>
      <c r="G200" s="3" t="s">
        <v>11</v>
      </c>
      <c r="H200" t="s">
        <v>21</v>
      </c>
      <c r="I200">
        <v>201</v>
      </c>
      <c r="J200" t="e" vm="5">
        <v>#VALUE!</v>
      </c>
      <c r="K200" t="e" cm="1" vm="6">
        <f t="array" aca="1" ref="K200" ca="1">_FV(Table2[[#This Row],[City]],"Country/region",TRUE)</f>
        <v>#VALUE!</v>
      </c>
      <c r="L200">
        <f>Table2[[#This Row],[Quantity]]*Table2[[#This Row],[Price]]</f>
        <v>1002.99</v>
      </c>
    </row>
    <row r="201" spans="2:12" x14ac:dyDescent="0.3">
      <c r="B201" s="3">
        <v>10655</v>
      </c>
      <c r="C201" s="4">
        <v>44913</v>
      </c>
      <c r="D201" t="s">
        <v>15</v>
      </c>
      <c r="E201" s="3">
        <v>12.99</v>
      </c>
      <c r="F201" s="3" t="s">
        <v>10</v>
      </c>
      <c r="G201" s="3" t="s">
        <v>11</v>
      </c>
      <c r="H201" t="s">
        <v>21</v>
      </c>
      <c r="I201">
        <v>601</v>
      </c>
      <c r="J201" t="e" vm="5">
        <v>#VALUE!</v>
      </c>
      <c r="K201" t="e" cm="1" vm="6">
        <f t="array" aca="1" ref="K201" ca="1">_FV(Table2[[#This Row],[City]],"Country/region",TRUE)</f>
        <v>#VALUE!</v>
      </c>
      <c r="L201">
        <f>Table2[[#This Row],[Quantity]]*Table2[[#This Row],[Price]]</f>
        <v>7806.99</v>
      </c>
    </row>
    <row r="202" spans="2:12" x14ac:dyDescent="0.3">
      <c r="B202" s="3">
        <v>10656</v>
      </c>
      <c r="C202" s="4">
        <v>44913</v>
      </c>
      <c r="D202" t="s">
        <v>18</v>
      </c>
      <c r="E202" s="3">
        <v>9.9499999999999993</v>
      </c>
      <c r="F202" s="3" t="s">
        <v>10</v>
      </c>
      <c r="G202" s="3" t="s">
        <v>11</v>
      </c>
      <c r="H202" t="s">
        <v>21</v>
      </c>
      <c r="I202">
        <v>222</v>
      </c>
      <c r="J202" t="e" vm="5">
        <v>#VALUE!</v>
      </c>
      <c r="K202" t="e" cm="1" vm="6">
        <f t="array" aca="1" ref="K202" ca="1">_FV(Table2[[#This Row],[City]],"Country/region",TRUE)</f>
        <v>#VALUE!</v>
      </c>
      <c r="L202">
        <f>Table2[[#This Row],[Quantity]]*Table2[[#This Row],[Price]]</f>
        <v>2208.8999999999996</v>
      </c>
    </row>
    <row r="203" spans="2:12" x14ac:dyDescent="0.3">
      <c r="B203" s="3">
        <v>10657</v>
      </c>
      <c r="C203" s="4">
        <v>44913</v>
      </c>
      <c r="D203" t="s">
        <v>9</v>
      </c>
      <c r="E203" s="3">
        <v>3.49</v>
      </c>
      <c r="F203" s="3" t="s">
        <v>10</v>
      </c>
      <c r="G203" s="3" t="s">
        <v>11</v>
      </c>
      <c r="H203" t="s">
        <v>21</v>
      </c>
      <c r="I203">
        <v>688</v>
      </c>
      <c r="J203" t="e" vm="5">
        <v>#VALUE!</v>
      </c>
      <c r="K203" t="e" cm="1" vm="6">
        <f t="array" aca="1" ref="K203" ca="1">_FV(Table2[[#This Row],[City]],"Country/region",TRUE)</f>
        <v>#VALUE!</v>
      </c>
      <c r="L203">
        <f>Table2[[#This Row],[Quantity]]*Table2[[#This Row],[Price]]</f>
        <v>2401.1200000000003</v>
      </c>
    </row>
    <row r="204" spans="2:12" x14ac:dyDescent="0.3">
      <c r="B204" s="3">
        <v>10658</v>
      </c>
      <c r="C204" s="4">
        <v>44913</v>
      </c>
      <c r="D204" t="s">
        <v>12</v>
      </c>
      <c r="E204" s="3">
        <v>2.95</v>
      </c>
      <c r="F204" s="3" t="s">
        <v>10</v>
      </c>
      <c r="G204" s="3" t="s">
        <v>23</v>
      </c>
      <c r="H204" t="s">
        <v>21</v>
      </c>
      <c r="I204">
        <v>746</v>
      </c>
      <c r="J204" t="e" vm="5">
        <v>#VALUE!</v>
      </c>
      <c r="K204" t="e" cm="1" vm="6">
        <f t="array" aca="1" ref="K204" ca="1">_FV(Table2[[#This Row],[City]],"Country/region",TRUE)</f>
        <v>#VALUE!</v>
      </c>
      <c r="L204">
        <f>Table2[[#This Row],[Quantity]]*Table2[[#This Row],[Price]]</f>
        <v>2200.7000000000003</v>
      </c>
    </row>
    <row r="205" spans="2:12" x14ac:dyDescent="0.3">
      <c r="B205" s="3">
        <v>10659</v>
      </c>
      <c r="C205" s="4">
        <v>44913</v>
      </c>
      <c r="D205" t="s">
        <v>13</v>
      </c>
      <c r="E205" s="3">
        <v>4.99</v>
      </c>
      <c r="F205" s="3" t="s">
        <v>10</v>
      </c>
      <c r="G205" s="3" t="s">
        <v>23</v>
      </c>
      <c r="H205" t="s">
        <v>21</v>
      </c>
      <c r="I205">
        <v>201</v>
      </c>
      <c r="J205" t="e" vm="5">
        <v>#VALUE!</v>
      </c>
      <c r="K205" t="e" cm="1" vm="6">
        <f t="array" aca="1" ref="K205" ca="1">_FV(Table2[[#This Row],[City]],"Country/region",TRUE)</f>
        <v>#VALUE!</v>
      </c>
      <c r="L205">
        <f>Table2[[#This Row],[Quantity]]*Table2[[#This Row],[Price]]</f>
        <v>1002.99</v>
      </c>
    </row>
    <row r="206" spans="2:12" x14ac:dyDescent="0.3">
      <c r="B206" s="3">
        <v>10660</v>
      </c>
      <c r="C206" s="4">
        <v>44914</v>
      </c>
      <c r="D206" t="s">
        <v>15</v>
      </c>
      <c r="E206" s="3">
        <v>12.99</v>
      </c>
      <c r="F206" s="3" t="s">
        <v>14</v>
      </c>
      <c r="G206" s="3" t="s">
        <v>23</v>
      </c>
      <c r="H206" t="s">
        <v>21</v>
      </c>
      <c r="I206">
        <v>632</v>
      </c>
      <c r="J206" t="e" vm="5">
        <v>#VALUE!</v>
      </c>
      <c r="K206" t="e" cm="1" vm="6">
        <f t="array" aca="1" ref="K206" ca="1">_FV(Table2[[#This Row],[City]],"Country/region",TRUE)</f>
        <v>#VALUE!</v>
      </c>
      <c r="L206">
        <f>Table2[[#This Row],[Quantity]]*Table2[[#This Row],[Price]]</f>
        <v>8209.68</v>
      </c>
    </row>
    <row r="207" spans="2:12" x14ac:dyDescent="0.3">
      <c r="B207" s="3">
        <v>10661</v>
      </c>
      <c r="C207" s="4">
        <v>44914</v>
      </c>
      <c r="D207" t="s">
        <v>18</v>
      </c>
      <c r="E207" s="3">
        <v>9.9499999999999993</v>
      </c>
      <c r="F207" s="3" t="s">
        <v>14</v>
      </c>
      <c r="G207" s="3" t="s">
        <v>23</v>
      </c>
      <c r="H207" t="s">
        <v>21</v>
      </c>
      <c r="I207">
        <v>222</v>
      </c>
      <c r="J207" t="e" vm="5">
        <v>#VALUE!</v>
      </c>
      <c r="K207" t="e" cm="1" vm="6">
        <f t="array" aca="1" ref="K207" ca="1">_FV(Table2[[#This Row],[City]],"Country/region",TRUE)</f>
        <v>#VALUE!</v>
      </c>
      <c r="L207">
        <f>Table2[[#This Row],[Quantity]]*Table2[[#This Row],[Price]]</f>
        <v>2208.8999999999996</v>
      </c>
    </row>
    <row r="208" spans="2:12" x14ac:dyDescent="0.3">
      <c r="B208" s="3">
        <v>10662</v>
      </c>
      <c r="C208" s="4">
        <v>44914</v>
      </c>
      <c r="D208" t="s">
        <v>9</v>
      </c>
      <c r="E208" s="3">
        <v>3.49</v>
      </c>
      <c r="F208" s="3" t="s">
        <v>14</v>
      </c>
      <c r="G208" s="3" t="s">
        <v>23</v>
      </c>
      <c r="H208" t="s">
        <v>21</v>
      </c>
      <c r="I208">
        <v>631</v>
      </c>
      <c r="J208" t="e" vm="5">
        <v>#VALUE!</v>
      </c>
      <c r="K208" t="e" cm="1" vm="6">
        <f t="array" aca="1" ref="K208" ca="1">_FV(Table2[[#This Row],[City]],"Country/region",TRUE)</f>
        <v>#VALUE!</v>
      </c>
      <c r="L208">
        <f>Table2[[#This Row],[Quantity]]*Table2[[#This Row],[Price]]</f>
        <v>2202.19</v>
      </c>
    </row>
    <row r="209" spans="2:12" x14ac:dyDescent="0.3">
      <c r="B209" s="3">
        <v>10663</v>
      </c>
      <c r="C209" s="4">
        <v>44914</v>
      </c>
      <c r="D209" t="s">
        <v>12</v>
      </c>
      <c r="E209" s="3">
        <v>2.95</v>
      </c>
      <c r="F209" s="3" t="s">
        <v>14</v>
      </c>
      <c r="G209" s="3" t="s">
        <v>23</v>
      </c>
      <c r="H209" t="s">
        <v>21</v>
      </c>
      <c r="I209">
        <v>746</v>
      </c>
      <c r="J209" t="e" vm="5">
        <v>#VALUE!</v>
      </c>
      <c r="K209" t="e" cm="1" vm="6">
        <f t="array" aca="1" ref="K209" ca="1">_FV(Table2[[#This Row],[City]],"Country/region",TRUE)</f>
        <v>#VALUE!</v>
      </c>
      <c r="L209">
        <f>Table2[[#This Row],[Quantity]]*Table2[[#This Row],[Price]]</f>
        <v>2200.7000000000003</v>
      </c>
    </row>
    <row r="210" spans="2:12" x14ac:dyDescent="0.3">
      <c r="B210" s="3">
        <v>10664</v>
      </c>
      <c r="C210" s="4">
        <v>44914</v>
      </c>
      <c r="D210" t="s">
        <v>13</v>
      </c>
      <c r="E210" s="3">
        <v>4.99</v>
      </c>
      <c r="F210" s="3" t="s">
        <v>14</v>
      </c>
      <c r="G210" s="3" t="s">
        <v>23</v>
      </c>
      <c r="H210" t="s">
        <v>21</v>
      </c>
      <c r="I210">
        <v>201</v>
      </c>
      <c r="J210" t="e" vm="5">
        <v>#VALUE!</v>
      </c>
      <c r="K210" t="e" cm="1" vm="6">
        <f t="array" aca="1" ref="K210" ca="1">_FV(Table2[[#This Row],[City]],"Country/region",TRUE)</f>
        <v>#VALUE!</v>
      </c>
      <c r="L210">
        <f>Table2[[#This Row],[Quantity]]*Table2[[#This Row],[Price]]</f>
        <v>1002.99</v>
      </c>
    </row>
    <row r="211" spans="2:12" x14ac:dyDescent="0.3">
      <c r="B211" s="3">
        <v>10665</v>
      </c>
      <c r="C211" s="4">
        <v>44915</v>
      </c>
      <c r="D211" t="s">
        <v>15</v>
      </c>
      <c r="E211" s="3">
        <v>12.99</v>
      </c>
      <c r="F211" s="3" t="s">
        <v>14</v>
      </c>
      <c r="G211" s="3" t="s">
        <v>23</v>
      </c>
      <c r="H211" t="s">
        <v>21</v>
      </c>
      <c r="I211">
        <v>647</v>
      </c>
      <c r="J211" t="e" vm="5">
        <v>#VALUE!</v>
      </c>
      <c r="K211" t="e" cm="1" vm="6">
        <f t="array" aca="1" ref="K211" ca="1">_FV(Table2[[#This Row],[City]],"Country/region",TRUE)</f>
        <v>#VALUE!</v>
      </c>
      <c r="L211">
        <f>Table2[[#This Row],[Quantity]]*Table2[[#This Row],[Price]]</f>
        <v>8404.5300000000007</v>
      </c>
    </row>
    <row r="212" spans="2:12" x14ac:dyDescent="0.3">
      <c r="B212" s="3">
        <v>10666</v>
      </c>
      <c r="C212" s="4">
        <v>44915</v>
      </c>
      <c r="D212" t="s">
        <v>18</v>
      </c>
      <c r="E212" s="3">
        <v>9.9499999999999993</v>
      </c>
      <c r="F212" s="3" t="s">
        <v>14</v>
      </c>
      <c r="G212" s="3" t="s">
        <v>23</v>
      </c>
      <c r="H212" t="s">
        <v>21</v>
      </c>
      <c r="I212">
        <v>222</v>
      </c>
      <c r="J212" t="e" vm="5">
        <v>#VALUE!</v>
      </c>
      <c r="K212" t="e" cm="1" vm="6">
        <f t="array" aca="1" ref="K212" ca="1">_FV(Table2[[#This Row],[City]],"Country/region",TRUE)</f>
        <v>#VALUE!</v>
      </c>
      <c r="L212">
        <f>Table2[[#This Row],[Quantity]]*Table2[[#This Row],[Price]]</f>
        <v>2208.8999999999996</v>
      </c>
    </row>
    <row r="213" spans="2:12" x14ac:dyDescent="0.3">
      <c r="B213" s="3">
        <v>10667</v>
      </c>
      <c r="C213" s="4">
        <v>44915</v>
      </c>
      <c r="D213" t="s">
        <v>9</v>
      </c>
      <c r="E213" s="3">
        <v>3.49</v>
      </c>
      <c r="F213" s="3" t="s">
        <v>14</v>
      </c>
      <c r="G213" s="3" t="s">
        <v>23</v>
      </c>
      <c r="H213" t="s">
        <v>21</v>
      </c>
      <c r="I213">
        <v>631</v>
      </c>
      <c r="J213" t="e" vm="5">
        <v>#VALUE!</v>
      </c>
      <c r="K213" t="e" cm="1" vm="6">
        <f t="array" aca="1" ref="K213" ca="1">_FV(Table2[[#This Row],[City]],"Country/region",TRUE)</f>
        <v>#VALUE!</v>
      </c>
      <c r="L213">
        <f>Table2[[#This Row],[Quantity]]*Table2[[#This Row],[Price]]</f>
        <v>2202.19</v>
      </c>
    </row>
    <row r="214" spans="2:12" x14ac:dyDescent="0.3">
      <c r="B214" s="3">
        <v>10668</v>
      </c>
      <c r="C214" s="4">
        <v>44915</v>
      </c>
      <c r="D214" t="s">
        <v>12</v>
      </c>
      <c r="E214" s="3">
        <v>2.95</v>
      </c>
      <c r="F214" s="3" t="s">
        <v>14</v>
      </c>
      <c r="G214" s="3" t="s">
        <v>23</v>
      </c>
      <c r="H214" t="s">
        <v>21</v>
      </c>
      <c r="I214">
        <v>746</v>
      </c>
      <c r="J214" t="e" vm="5">
        <v>#VALUE!</v>
      </c>
      <c r="K214" t="e" cm="1" vm="6">
        <f t="array" aca="1" ref="K214" ca="1">_FV(Table2[[#This Row],[City]],"Country/region",TRUE)</f>
        <v>#VALUE!</v>
      </c>
      <c r="L214">
        <f>Table2[[#This Row],[Quantity]]*Table2[[#This Row],[Price]]</f>
        <v>2200.7000000000003</v>
      </c>
    </row>
    <row r="215" spans="2:12" x14ac:dyDescent="0.3">
      <c r="B215" s="3">
        <v>10669</v>
      </c>
      <c r="C215" s="4">
        <v>44915</v>
      </c>
      <c r="D215" t="s">
        <v>13</v>
      </c>
      <c r="E215" s="3">
        <v>4.99</v>
      </c>
      <c r="F215" s="3" t="s">
        <v>14</v>
      </c>
      <c r="G215" s="3" t="s">
        <v>23</v>
      </c>
      <c r="H215" t="s">
        <v>21</v>
      </c>
      <c r="I215">
        <v>201</v>
      </c>
      <c r="J215" t="e" vm="5">
        <v>#VALUE!</v>
      </c>
      <c r="K215" t="e" cm="1" vm="6">
        <f t="array" aca="1" ref="K215" ca="1">_FV(Table2[[#This Row],[City]],"Country/region",TRUE)</f>
        <v>#VALUE!</v>
      </c>
      <c r="L215">
        <f>Table2[[#This Row],[Quantity]]*Table2[[#This Row],[Price]]</f>
        <v>1002.99</v>
      </c>
    </row>
    <row r="216" spans="2:12" x14ac:dyDescent="0.3">
      <c r="B216" s="3">
        <v>10670</v>
      </c>
      <c r="C216" s="4">
        <v>44916</v>
      </c>
      <c r="D216" t="s">
        <v>15</v>
      </c>
      <c r="E216" s="3">
        <v>12.99</v>
      </c>
      <c r="F216" s="3" t="s">
        <v>14</v>
      </c>
      <c r="G216" s="3" t="s">
        <v>23</v>
      </c>
      <c r="H216" t="s">
        <v>21</v>
      </c>
      <c r="I216">
        <v>678</v>
      </c>
      <c r="J216" t="e" vm="5">
        <v>#VALUE!</v>
      </c>
      <c r="K216" t="e" cm="1" vm="6">
        <f t="array" aca="1" ref="K216" ca="1">_FV(Table2[[#This Row],[City]],"Country/region",TRUE)</f>
        <v>#VALUE!</v>
      </c>
      <c r="L216">
        <f>Table2[[#This Row],[Quantity]]*Table2[[#This Row],[Price]]</f>
        <v>8807.2199999999993</v>
      </c>
    </row>
    <row r="217" spans="2:12" x14ac:dyDescent="0.3">
      <c r="B217" s="3">
        <v>10671</v>
      </c>
      <c r="C217" s="4">
        <v>44916</v>
      </c>
      <c r="D217" t="s">
        <v>18</v>
      </c>
      <c r="E217" s="3">
        <v>9.9499999999999993</v>
      </c>
      <c r="F217" s="3" t="s">
        <v>14</v>
      </c>
      <c r="G217" s="3" t="s">
        <v>23</v>
      </c>
      <c r="H217" t="s">
        <v>21</v>
      </c>
      <c r="I217">
        <v>222</v>
      </c>
      <c r="J217" t="e" vm="5">
        <v>#VALUE!</v>
      </c>
      <c r="K217" t="e" cm="1" vm="6">
        <f t="array" aca="1" ref="K217" ca="1">_FV(Table2[[#This Row],[City]],"Country/region",TRUE)</f>
        <v>#VALUE!</v>
      </c>
      <c r="L217">
        <f>Table2[[#This Row],[Quantity]]*Table2[[#This Row],[Price]]</f>
        <v>2208.8999999999996</v>
      </c>
    </row>
    <row r="218" spans="2:12" x14ac:dyDescent="0.3">
      <c r="B218" s="3">
        <v>10672</v>
      </c>
      <c r="C218" s="4">
        <v>44916</v>
      </c>
      <c r="D218" t="s">
        <v>9</v>
      </c>
      <c r="E218" s="3">
        <v>3.49</v>
      </c>
      <c r="F218" s="3" t="s">
        <v>14</v>
      </c>
      <c r="G218" s="3" t="s">
        <v>23</v>
      </c>
      <c r="H218" t="s">
        <v>21</v>
      </c>
      <c r="I218">
        <v>631</v>
      </c>
      <c r="J218" t="e" vm="5">
        <v>#VALUE!</v>
      </c>
      <c r="K218" t="e" cm="1" vm="6">
        <f t="array" aca="1" ref="K218" ca="1">_FV(Table2[[#This Row],[City]],"Country/region",TRUE)</f>
        <v>#VALUE!</v>
      </c>
      <c r="L218">
        <f>Table2[[#This Row],[Quantity]]*Table2[[#This Row],[Price]]</f>
        <v>2202.19</v>
      </c>
    </row>
    <row r="219" spans="2:12" x14ac:dyDescent="0.3">
      <c r="B219" s="3">
        <v>10673</v>
      </c>
      <c r="C219" s="4">
        <v>44916</v>
      </c>
      <c r="D219" t="s">
        <v>12</v>
      </c>
      <c r="E219" s="3">
        <v>2.95</v>
      </c>
      <c r="F219" s="3" t="s">
        <v>14</v>
      </c>
      <c r="G219" s="3" t="s">
        <v>23</v>
      </c>
      <c r="H219" t="s">
        <v>21</v>
      </c>
      <c r="I219">
        <v>746</v>
      </c>
      <c r="J219" t="e" vm="5">
        <v>#VALUE!</v>
      </c>
      <c r="K219" t="e" cm="1" vm="6">
        <f t="array" aca="1" ref="K219" ca="1">_FV(Table2[[#This Row],[City]],"Country/region",TRUE)</f>
        <v>#VALUE!</v>
      </c>
      <c r="L219">
        <f>Table2[[#This Row],[Quantity]]*Table2[[#This Row],[Price]]</f>
        <v>2200.7000000000003</v>
      </c>
    </row>
    <row r="220" spans="2:12" x14ac:dyDescent="0.3">
      <c r="B220" s="3">
        <v>10674</v>
      </c>
      <c r="C220" s="4">
        <v>44916</v>
      </c>
      <c r="D220" t="s">
        <v>13</v>
      </c>
      <c r="E220" s="3">
        <v>4.99</v>
      </c>
      <c r="F220" s="3" t="s">
        <v>14</v>
      </c>
      <c r="G220" s="3" t="s">
        <v>23</v>
      </c>
      <c r="H220" t="s">
        <v>21</v>
      </c>
      <c r="I220">
        <v>201</v>
      </c>
      <c r="J220" t="e" vm="5">
        <v>#VALUE!</v>
      </c>
      <c r="K220" t="e" cm="1" vm="6">
        <f t="array" aca="1" ref="K220" ca="1">_FV(Table2[[#This Row],[City]],"Country/region",TRUE)</f>
        <v>#VALUE!</v>
      </c>
      <c r="L220">
        <f>Table2[[#This Row],[Quantity]]*Table2[[#This Row],[Price]]</f>
        <v>1002.99</v>
      </c>
    </row>
    <row r="221" spans="2:12" x14ac:dyDescent="0.3">
      <c r="B221" s="3">
        <v>10675</v>
      </c>
      <c r="C221" s="4">
        <v>44917</v>
      </c>
      <c r="D221" t="s">
        <v>15</v>
      </c>
      <c r="E221" s="3">
        <v>12.99</v>
      </c>
      <c r="F221" s="3" t="s">
        <v>14</v>
      </c>
      <c r="G221" s="3" t="s">
        <v>23</v>
      </c>
      <c r="H221" t="s">
        <v>21</v>
      </c>
      <c r="I221">
        <v>678</v>
      </c>
      <c r="J221" t="e" vm="5">
        <v>#VALUE!</v>
      </c>
      <c r="K221" t="e" cm="1" vm="6">
        <f t="array" aca="1" ref="K221" ca="1">_FV(Table2[[#This Row],[City]],"Country/region",TRUE)</f>
        <v>#VALUE!</v>
      </c>
      <c r="L221">
        <f>Table2[[#This Row],[Quantity]]*Table2[[#This Row],[Price]]</f>
        <v>8807.2199999999993</v>
      </c>
    </row>
    <row r="222" spans="2:12" x14ac:dyDescent="0.3">
      <c r="B222" s="3">
        <v>10676</v>
      </c>
      <c r="C222" s="4">
        <v>44917</v>
      </c>
      <c r="D222" t="s">
        <v>18</v>
      </c>
      <c r="E222" s="3">
        <v>9.9499999999999993</v>
      </c>
      <c r="F222" s="3" t="s">
        <v>14</v>
      </c>
      <c r="G222" s="3" t="s">
        <v>23</v>
      </c>
      <c r="H222" t="s">
        <v>21</v>
      </c>
      <c r="I222">
        <v>242</v>
      </c>
      <c r="J222" t="e" vm="5">
        <v>#VALUE!</v>
      </c>
      <c r="K222" t="e" cm="1" vm="6">
        <f t="array" aca="1" ref="K222" ca="1">_FV(Table2[[#This Row],[City]],"Country/region",TRUE)</f>
        <v>#VALUE!</v>
      </c>
      <c r="L222">
        <f>Table2[[#This Row],[Quantity]]*Table2[[#This Row],[Price]]</f>
        <v>2407.8999999999996</v>
      </c>
    </row>
    <row r="223" spans="2:12" x14ac:dyDescent="0.3">
      <c r="B223" s="3">
        <v>10677</v>
      </c>
      <c r="C223" s="4">
        <v>44917</v>
      </c>
      <c r="D223" t="s">
        <v>9</v>
      </c>
      <c r="E223" s="3">
        <v>3.49</v>
      </c>
      <c r="F223" s="3" t="s">
        <v>14</v>
      </c>
      <c r="G223" s="3" t="s">
        <v>23</v>
      </c>
      <c r="H223" t="s">
        <v>21</v>
      </c>
      <c r="I223">
        <v>631</v>
      </c>
      <c r="J223" t="e" vm="5">
        <v>#VALUE!</v>
      </c>
      <c r="K223" t="e" cm="1" vm="6">
        <f t="array" aca="1" ref="K223" ca="1">_FV(Table2[[#This Row],[City]],"Country/region",TRUE)</f>
        <v>#VALUE!</v>
      </c>
      <c r="L223">
        <f>Table2[[#This Row],[Quantity]]*Table2[[#This Row],[Price]]</f>
        <v>2202.19</v>
      </c>
    </row>
    <row r="224" spans="2:12" x14ac:dyDescent="0.3">
      <c r="B224" s="3">
        <v>10678</v>
      </c>
      <c r="C224" s="4">
        <v>44917</v>
      </c>
      <c r="D224" t="s">
        <v>12</v>
      </c>
      <c r="E224" s="3">
        <v>2.95</v>
      </c>
      <c r="F224" s="3" t="s">
        <v>14</v>
      </c>
      <c r="G224" s="3" t="s">
        <v>23</v>
      </c>
      <c r="H224" t="s">
        <v>21</v>
      </c>
      <c r="I224">
        <v>746</v>
      </c>
      <c r="J224" t="e" vm="5">
        <v>#VALUE!</v>
      </c>
      <c r="K224" t="e" cm="1" vm="6">
        <f t="array" aca="1" ref="K224" ca="1">_FV(Table2[[#This Row],[City]],"Country/region",TRUE)</f>
        <v>#VALUE!</v>
      </c>
      <c r="L224">
        <f>Table2[[#This Row],[Quantity]]*Table2[[#This Row],[Price]]</f>
        <v>2200.7000000000003</v>
      </c>
    </row>
    <row r="225" spans="2:12" x14ac:dyDescent="0.3">
      <c r="B225" s="3">
        <v>10679</v>
      </c>
      <c r="C225" s="4">
        <v>44917</v>
      </c>
      <c r="D225" t="s">
        <v>13</v>
      </c>
      <c r="E225" s="3">
        <v>4.99</v>
      </c>
      <c r="F225" s="3" t="s">
        <v>14</v>
      </c>
      <c r="G225" s="3" t="s">
        <v>23</v>
      </c>
      <c r="H225" t="s">
        <v>21</v>
      </c>
      <c r="I225">
        <v>201</v>
      </c>
      <c r="J225" t="e" vm="5">
        <v>#VALUE!</v>
      </c>
      <c r="K225" t="e" cm="1" vm="6">
        <f t="array" aca="1" ref="K225" ca="1">_FV(Table2[[#This Row],[City]],"Country/region",TRUE)</f>
        <v>#VALUE!</v>
      </c>
      <c r="L225">
        <f>Table2[[#This Row],[Quantity]]*Table2[[#This Row],[Price]]</f>
        <v>1002.99</v>
      </c>
    </row>
    <row r="226" spans="2:12" x14ac:dyDescent="0.3">
      <c r="B226" s="3">
        <v>10680</v>
      </c>
      <c r="C226" s="4">
        <v>44918</v>
      </c>
      <c r="D226" t="s">
        <v>15</v>
      </c>
      <c r="E226" s="3">
        <v>12.99</v>
      </c>
      <c r="F226" s="3" t="s">
        <v>14</v>
      </c>
      <c r="G226" s="3" t="s">
        <v>23</v>
      </c>
      <c r="H226" t="s">
        <v>21</v>
      </c>
      <c r="I226">
        <v>647</v>
      </c>
      <c r="J226" t="e" vm="5">
        <v>#VALUE!</v>
      </c>
      <c r="K226" t="e" cm="1" vm="6">
        <f t="array" aca="1" ref="K226" ca="1">_FV(Table2[[#This Row],[City]],"Country/region",TRUE)</f>
        <v>#VALUE!</v>
      </c>
      <c r="L226">
        <f>Table2[[#This Row],[Quantity]]*Table2[[#This Row],[Price]]</f>
        <v>8404.5300000000007</v>
      </c>
    </row>
    <row r="227" spans="2:12" x14ac:dyDescent="0.3">
      <c r="B227" s="3">
        <v>10681</v>
      </c>
      <c r="C227" s="4">
        <v>44918</v>
      </c>
      <c r="D227" t="s">
        <v>18</v>
      </c>
      <c r="E227" s="3">
        <v>9.9499999999999993</v>
      </c>
      <c r="F227" s="3" t="s">
        <v>14</v>
      </c>
      <c r="G227" s="3" t="s">
        <v>23</v>
      </c>
      <c r="H227" t="s">
        <v>21</v>
      </c>
      <c r="I227">
        <v>242</v>
      </c>
      <c r="J227" t="e" vm="5">
        <v>#VALUE!</v>
      </c>
      <c r="K227" t="e" cm="1" vm="6">
        <f t="array" aca="1" ref="K227" ca="1">_FV(Table2[[#This Row],[City]],"Country/region",TRUE)</f>
        <v>#VALUE!</v>
      </c>
      <c r="L227">
        <f>Table2[[#This Row],[Quantity]]*Table2[[#This Row],[Price]]</f>
        <v>2407.8999999999996</v>
      </c>
    </row>
    <row r="228" spans="2:12" x14ac:dyDescent="0.3">
      <c r="B228" s="3">
        <v>10682</v>
      </c>
      <c r="C228" s="4">
        <v>44918</v>
      </c>
      <c r="D228" t="s">
        <v>9</v>
      </c>
      <c r="E228" s="3">
        <v>3.49</v>
      </c>
      <c r="F228" s="3" t="s">
        <v>14</v>
      </c>
      <c r="G228" s="3" t="s">
        <v>23</v>
      </c>
      <c r="H228" t="s">
        <v>21</v>
      </c>
      <c r="I228">
        <v>631</v>
      </c>
      <c r="J228" t="e" vm="5">
        <v>#VALUE!</v>
      </c>
      <c r="K228" t="e" cm="1" vm="6">
        <f t="array" aca="1" ref="K228" ca="1">_FV(Table2[[#This Row],[City]],"Country/region",TRUE)</f>
        <v>#VALUE!</v>
      </c>
      <c r="L228">
        <f>Table2[[#This Row],[Quantity]]*Table2[[#This Row],[Price]]</f>
        <v>2202.19</v>
      </c>
    </row>
    <row r="229" spans="2:12" x14ac:dyDescent="0.3">
      <c r="B229" s="3">
        <v>10683</v>
      </c>
      <c r="C229" s="4">
        <v>44918</v>
      </c>
      <c r="D229" t="s">
        <v>12</v>
      </c>
      <c r="E229" s="3">
        <v>2.95</v>
      </c>
      <c r="F229" s="3" t="s">
        <v>14</v>
      </c>
      <c r="G229" s="3" t="s">
        <v>23</v>
      </c>
      <c r="H229" t="s">
        <v>21</v>
      </c>
      <c r="I229">
        <v>678</v>
      </c>
      <c r="J229" t="e" vm="5">
        <v>#VALUE!</v>
      </c>
      <c r="K229" t="e" cm="1" vm="6">
        <f t="array" aca="1" ref="K229" ca="1">_FV(Table2[[#This Row],[City]],"Country/region",TRUE)</f>
        <v>#VALUE!</v>
      </c>
      <c r="L229">
        <f>Table2[[#This Row],[Quantity]]*Table2[[#This Row],[Price]]</f>
        <v>2000.1000000000001</v>
      </c>
    </row>
    <row r="230" spans="2:12" x14ac:dyDescent="0.3">
      <c r="B230" s="3">
        <v>10684</v>
      </c>
      <c r="C230" s="4">
        <v>44918</v>
      </c>
      <c r="D230" t="s">
        <v>13</v>
      </c>
      <c r="E230" s="3">
        <v>4.99</v>
      </c>
      <c r="F230" s="3" t="s">
        <v>14</v>
      </c>
      <c r="G230" s="3" t="s">
        <v>23</v>
      </c>
      <c r="H230" t="s">
        <v>21</v>
      </c>
      <c r="I230">
        <v>201</v>
      </c>
      <c r="J230" t="e" vm="5">
        <v>#VALUE!</v>
      </c>
      <c r="K230" t="e" cm="1" vm="6">
        <f t="array" aca="1" ref="K230" ca="1">_FV(Table2[[#This Row],[City]],"Country/region",TRUE)</f>
        <v>#VALUE!</v>
      </c>
      <c r="L230">
        <f>Table2[[#This Row],[Quantity]]*Table2[[#This Row],[Price]]</f>
        <v>1002.99</v>
      </c>
    </row>
    <row r="231" spans="2:12" x14ac:dyDescent="0.3">
      <c r="B231" s="3">
        <v>10685</v>
      </c>
      <c r="C231" s="4">
        <v>44919</v>
      </c>
      <c r="D231" t="s">
        <v>15</v>
      </c>
      <c r="E231" s="3">
        <v>12.99</v>
      </c>
      <c r="F231" s="3" t="s">
        <v>14</v>
      </c>
      <c r="G231" s="3" t="s">
        <v>23</v>
      </c>
      <c r="H231" t="s">
        <v>21</v>
      </c>
      <c r="I231">
        <v>678</v>
      </c>
      <c r="J231" t="e" vm="5">
        <v>#VALUE!</v>
      </c>
      <c r="K231" t="e" cm="1" vm="6">
        <f t="array" aca="1" ref="K231" ca="1">_FV(Table2[[#This Row],[City]],"Country/region",TRUE)</f>
        <v>#VALUE!</v>
      </c>
      <c r="L231">
        <f>Table2[[#This Row],[Quantity]]*Table2[[#This Row],[Price]]</f>
        <v>8807.2199999999993</v>
      </c>
    </row>
    <row r="232" spans="2:12" x14ac:dyDescent="0.3">
      <c r="B232" s="3">
        <v>10686</v>
      </c>
      <c r="C232" s="4">
        <v>44919</v>
      </c>
      <c r="D232" t="s">
        <v>18</v>
      </c>
      <c r="E232" s="3">
        <v>9.9499999999999993</v>
      </c>
      <c r="F232" s="3" t="s">
        <v>14</v>
      </c>
      <c r="G232" s="3" t="s">
        <v>23</v>
      </c>
      <c r="H232" t="s">
        <v>21</v>
      </c>
      <c r="I232">
        <v>242</v>
      </c>
      <c r="J232" t="e" vm="5">
        <v>#VALUE!</v>
      </c>
      <c r="K232" t="e" cm="1" vm="6">
        <f t="array" aca="1" ref="K232" ca="1">_FV(Table2[[#This Row],[City]],"Country/region",TRUE)</f>
        <v>#VALUE!</v>
      </c>
      <c r="L232">
        <f>Table2[[#This Row],[Quantity]]*Table2[[#This Row],[Price]]</f>
        <v>2407.8999999999996</v>
      </c>
    </row>
    <row r="233" spans="2:12" x14ac:dyDescent="0.3">
      <c r="B233" s="3">
        <v>10687</v>
      </c>
      <c r="C233" s="4">
        <v>44919</v>
      </c>
      <c r="D233" t="s">
        <v>9</v>
      </c>
      <c r="E233" s="3">
        <v>3.49</v>
      </c>
      <c r="F233" s="3" t="s">
        <v>14</v>
      </c>
      <c r="G233" s="3" t="s">
        <v>23</v>
      </c>
      <c r="H233" t="s">
        <v>17</v>
      </c>
      <c r="I233">
        <v>631</v>
      </c>
      <c r="J233" t="e" vm="7">
        <v>#VALUE!</v>
      </c>
      <c r="K233" t="e" cm="1" vm="2">
        <f t="array" aca="1" ref="K233" ca="1">_FV(Table2[[#This Row],[City]],"Country/region",TRUE)</f>
        <v>#VALUE!</v>
      </c>
      <c r="L233">
        <f>Table2[[#This Row],[Quantity]]*Table2[[#This Row],[Price]]</f>
        <v>2202.19</v>
      </c>
    </row>
    <row r="234" spans="2:12" x14ac:dyDescent="0.3">
      <c r="B234" s="3">
        <v>10688</v>
      </c>
      <c r="C234" s="4">
        <v>44919</v>
      </c>
      <c r="D234" t="s">
        <v>12</v>
      </c>
      <c r="E234" s="3">
        <v>2.95</v>
      </c>
      <c r="F234" s="3" t="s">
        <v>14</v>
      </c>
      <c r="G234" s="3" t="s">
        <v>23</v>
      </c>
      <c r="H234" t="s">
        <v>17</v>
      </c>
      <c r="I234">
        <v>678</v>
      </c>
      <c r="J234" t="e" vm="7">
        <v>#VALUE!</v>
      </c>
      <c r="K234" t="e" cm="1" vm="2">
        <f t="array" aca="1" ref="K234" ca="1">_FV(Table2[[#This Row],[City]],"Country/region",TRUE)</f>
        <v>#VALUE!</v>
      </c>
      <c r="L234">
        <f>Table2[[#This Row],[Quantity]]*Table2[[#This Row],[Price]]</f>
        <v>2000.1000000000001</v>
      </c>
    </row>
    <row r="235" spans="2:12" x14ac:dyDescent="0.3">
      <c r="B235" s="3">
        <v>10689</v>
      </c>
      <c r="C235" s="4">
        <v>44919</v>
      </c>
      <c r="D235" t="s">
        <v>13</v>
      </c>
      <c r="E235" s="3">
        <v>4.99</v>
      </c>
      <c r="F235" s="3" t="s">
        <v>14</v>
      </c>
      <c r="G235" s="3" t="s">
        <v>23</v>
      </c>
      <c r="H235" t="s">
        <v>17</v>
      </c>
      <c r="I235">
        <v>201</v>
      </c>
      <c r="J235" t="e" vm="7">
        <v>#VALUE!</v>
      </c>
      <c r="K235" t="e" cm="1" vm="2">
        <f t="array" aca="1" ref="K235" ca="1">_FV(Table2[[#This Row],[City]],"Country/region",TRUE)</f>
        <v>#VALUE!</v>
      </c>
      <c r="L235">
        <f>Table2[[#This Row],[Quantity]]*Table2[[#This Row],[Price]]</f>
        <v>1002.99</v>
      </c>
    </row>
    <row r="236" spans="2:12" x14ac:dyDescent="0.3">
      <c r="B236" s="3">
        <v>10690</v>
      </c>
      <c r="C236" s="4">
        <v>44920</v>
      </c>
      <c r="D236" t="s">
        <v>15</v>
      </c>
      <c r="E236" s="3">
        <v>12.99</v>
      </c>
      <c r="F236" s="3" t="s">
        <v>14</v>
      </c>
      <c r="G236" s="3" t="s">
        <v>23</v>
      </c>
      <c r="H236" t="s">
        <v>17</v>
      </c>
      <c r="I236">
        <v>678</v>
      </c>
      <c r="J236" t="e" vm="7">
        <v>#VALUE!</v>
      </c>
      <c r="K236" t="e" cm="1" vm="2">
        <f t="array" aca="1" ref="K236" ca="1">_FV(Table2[[#This Row],[City]],"Country/region",TRUE)</f>
        <v>#VALUE!</v>
      </c>
      <c r="L236">
        <f>Table2[[#This Row],[Quantity]]*Table2[[#This Row],[Price]]</f>
        <v>8807.2199999999993</v>
      </c>
    </row>
    <row r="237" spans="2:12" x14ac:dyDescent="0.3">
      <c r="B237" s="3">
        <v>10691</v>
      </c>
      <c r="C237" s="4">
        <v>44920</v>
      </c>
      <c r="D237" t="s">
        <v>18</v>
      </c>
      <c r="E237" s="3">
        <v>9.9499999999999993</v>
      </c>
      <c r="F237" s="3" t="s">
        <v>14</v>
      </c>
      <c r="G237" s="3" t="s">
        <v>23</v>
      </c>
      <c r="H237" t="s">
        <v>17</v>
      </c>
      <c r="I237">
        <v>262</v>
      </c>
      <c r="J237" t="e" vm="7">
        <v>#VALUE!</v>
      </c>
      <c r="K237" t="e" cm="1" vm="2">
        <f t="array" aca="1" ref="K237" ca="1">_FV(Table2[[#This Row],[City]],"Country/region",TRUE)</f>
        <v>#VALUE!</v>
      </c>
      <c r="L237">
        <f>Table2[[#This Row],[Quantity]]*Table2[[#This Row],[Price]]</f>
        <v>2606.8999999999996</v>
      </c>
    </row>
    <row r="238" spans="2:12" x14ac:dyDescent="0.3">
      <c r="B238" s="3">
        <v>10692</v>
      </c>
      <c r="C238" s="4">
        <v>44920</v>
      </c>
      <c r="D238" t="s">
        <v>9</v>
      </c>
      <c r="E238" s="3">
        <v>3.49</v>
      </c>
      <c r="F238" s="3" t="s">
        <v>14</v>
      </c>
      <c r="G238" s="3" t="s">
        <v>23</v>
      </c>
      <c r="H238" t="s">
        <v>17</v>
      </c>
      <c r="I238">
        <v>631</v>
      </c>
      <c r="J238" t="e" vm="7">
        <v>#VALUE!</v>
      </c>
      <c r="K238" t="e" cm="1" vm="2">
        <f t="array" aca="1" ref="K238" ca="1">_FV(Table2[[#This Row],[City]],"Country/region",TRUE)</f>
        <v>#VALUE!</v>
      </c>
      <c r="L238">
        <f>Table2[[#This Row],[Quantity]]*Table2[[#This Row],[Price]]</f>
        <v>2202.19</v>
      </c>
    </row>
    <row r="239" spans="2:12" x14ac:dyDescent="0.3">
      <c r="B239" s="3">
        <v>10693</v>
      </c>
      <c r="C239" s="4">
        <v>44920</v>
      </c>
      <c r="D239" t="s">
        <v>12</v>
      </c>
      <c r="E239" s="3">
        <v>2.95</v>
      </c>
      <c r="F239" s="3" t="s">
        <v>14</v>
      </c>
      <c r="G239" s="3" t="s">
        <v>23</v>
      </c>
      <c r="H239" t="s">
        <v>17</v>
      </c>
      <c r="I239">
        <v>678</v>
      </c>
      <c r="J239" t="e" vm="7">
        <v>#VALUE!</v>
      </c>
      <c r="K239" t="e" cm="1" vm="2">
        <f t="array" aca="1" ref="K239" ca="1">_FV(Table2[[#This Row],[City]],"Country/region",TRUE)</f>
        <v>#VALUE!</v>
      </c>
      <c r="L239">
        <f>Table2[[#This Row],[Quantity]]*Table2[[#This Row],[Price]]</f>
        <v>2000.1000000000001</v>
      </c>
    </row>
    <row r="240" spans="2:12" x14ac:dyDescent="0.3">
      <c r="B240" s="3">
        <v>10694</v>
      </c>
      <c r="C240" s="4">
        <v>44920</v>
      </c>
      <c r="D240" t="s">
        <v>13</v>
      </c>
      <c r="E240" s="3">
        <v>4.99</v>
      </c>
      <c r="F240" s="3" t="s">
        <v>14</v>
      </c>
      <c r="G240" s="3" t="s">
        <v>23</v>
      </c>
      <c r="H240" t="s">
        <v>17</v>
      </c>
      <c r="I240">
        <v>201</v>
      </c>
      <c r="J240" t="e" vm="7">
        <v>#VALUE!</v>
      </c>
      <c r="K240" t="e" cm="1" vm="2">
        <f t="array" aca="1" ref="K240" ca="1">_FV(Table2[[#This Row],[City]],"Country/region",TRUE)</f>
        <v>#VALUE!</v>
      </c>
      <c r="L240">
        <f>Table2[[#This Row],[Quantity]]*Table2[[#This Row],[Price]]</f>
        <v>1002.99</v>
      </c>
    </row>
    <row r="241" spans="2:12" x14ac:dyDescent="0.3">
      <c r="B241" s="3">
        <v>10695</v>
      </c>
      <c r="C241" s="4">
        <v>44921</v>
      </c>
      <c r="D241" t="s">
        <v>15</v>
      </c>
      <c r="E241" s="3">
        <v>12.99</v>
      </c>
      <c r="F241" s="3" t="s">
        <v>14</v>
      </c>
      <c r="G241" s="3" t="s">
        <v>23</v>
      </c>
      <c r="H241" t="s">
        <v>17</v>
      </c>
      <c r="I241">
        <v>693</v>
      </c>
      <c r="J241" t="e" vm="7">
        <v>#VALUE!</v>
      </c>
      <c r="K241" t="e" cm="1" vm="2">
        <f t="array" aca="1" ref="K241" ca="1">_FV(Table2[[#This Row],[City]],"Country/region",TRUE)</f>
        <v>#VALUE!</v>
      </c>
      <c r="L241">
        <f>Table2[[#This Row],[Quantity]]*Table2[[#This Row],[Price]]</f>
        <v>9002.07</v>
      </c>
    </row>
    <row r="242" spans="2:12" x14ac:dyDescent="0.3">
      <c r="B242" s="3">
        <v>10696</v>
      </c>
      <c r="C242" s="4">
        <v>44921</v>
      </c>
      <c r="D242" t="s">
        <v>18</v>
      </c>
      <c r="E242" s="3">
        <v>9.9499999999999993</v>
      </c>
      <c r="F242" s="3" t="s">
        <v>14</v>
      </c>
      <c r="G242" s="3" t="s">
        <v>23</v>
      </c>
      <c r="H242" t="s">
        <v>17</v>
      </c>
      <c r="I242">
        <v>282</v>
      </c>
      <c r="J242" t="e" vm="7">
        <v>#VALUE!</v>
      </c>
      <c r="K242" t="e" cm="1" vm="2">
        <f t="array" aca="1" ref="K242" ca="1">_FV(Table2[[#This Row],[City]],"Country/region",TRUE)</f>
        <v>#VALUE!</v>
      </c>
      <c r="L242">
        <f>Table2[[#This Row],[Quantity]]*Table2[[#This Row],[Price]]</f>
        <v>2805.8999999999996</v>
      </c>
    </row>
    <row r="243" spans="2:12" x14ac:dyDescent="0.3">
      <c r="B243" s="3">
        <v>10697</v>
      </c>
      <c r="C243" s="4">
        <v>44921</v>
      </c>
      <c r="D243" t="s">
        <v>9</v>
      </c>
      <c r="E243" s="3">
        <v>3.49</v>
      </c>
      <c r="F243" s="3" t="s">
        <v>14</v>
      </c>
      <c r="G243" s="3" t="s">
        <v>23</v>
      </c>
      <c r="H243" t="s">
        <v>17</v>
      </c>
      <c r="I243">
        <v>631</v>
      </c>
      <c r="J243" t="e" vm="7">
        <v>#VALUE!</v>
      </c>
      <c r="K243" t="e" cm="1" vm="2">
        <f t="array" aca="1" ref="K243" ca="1">_FV(Table2[[#This Row],[City]],"Country/region",TRUE)</f>
        <v>#VALUE!</v>
      </c>
      <c r="L243">
        <f>Table2[[#This Row],[Quantity]]*Table2[[#This Row],[Price]]</f>
        <v>2202.19</v>
      </c>
    </row>
    <row r="244" spans="2:12" x14ac:dyDescent="0.3">
      <c r="B244" s="3">
        <v>10698</v>
      </c>
      <c r="C244" s="4">
        <v>44921</v>
      </c>
      <c r="D244" t="s">
        <v>12</v>
      </c>
      <c r="E244" s="3">
        <v>2.95</v>
      </c>
      <c r="F244" s="3" t="s">
        <v>14</v>
      </c>
      <c r="G244" s="3" t="s">
        <v>23</v>
      </c>
      <c r="H244" t="s">
        <v>17</v>
      </c>
      <c r="I244">
        <v>678</v>
      </c>
      <c r="J244" t="e" vm="7">
        <v>#VALUE!</v>
      </c>
      <c r="K244" t="e" cm="1" vm="2">
        <f t="array" aca="1" ref="K244" ca="1">_FV(Table2[[#This Row],[City]],"Country/region",TRUE)</f>
        <v>#VALUE!</v>
      </c>
      <c r="L244">
        <f>Table2[[#This Row],[Quantity]]*Table2[[#This Row],[Price]]</f>
        <v>2000.1000000000001</v>
      </c>
    </row>
    <row r="245" spans="2:12" x14ac:dyDescent="0.3">
      <c r="B245" s="3">
        <v>10699</v>
      </c>
      <c r="C245" s="4">
        <v>44921</v>
      </c>
      <c r="D245" t="s">
        <v>13</v>
      </c>
      <c r="E245" s="3">
        <v>4.99</v>
      </c>
      <c r="F245" s="3" t="s">
        <v>14</v>
      </c>
      <c r="G245" s="3" t="s">
        <v>23</v>
      </c>
      <c r="H245" t="s">
        <v>17</v>
      </c>
      <c r="I245">
        <v>201</v>
      </c>
      <c r="J245" t="e" vm="7">
        <v>#VALUE!</v>
      </c>
      <c r="K245" t="e" cm="1" vm="2">
        <f t="array" aca="1" ref="K245" ca="1">_FV(Table2[[#This Row],[City]],"Country/region",TRUE)</f>
        <v>#VALUE!</v>
      </c>
      <c r="L245">
        <f>Table2[[#This Row],[Quantity]]*Table2[[#This Row],[Price]]</f>
        <v>1002.99</v>
      </c>
    </row>
    <row r="246" spans="2:12" x14ac:dyDescent="0.3">
      <c r="B246" s="3">
        <v>10700</v>
      </c>
      <c r="C246" s="4">
        <v>44922</v>
      </c>
      <c r="D246" t="s">
        <v>15</v>
      </c>
      <c r="E246" s="3">
        <v>12.99</v>
      </c>
      <c r="F246" s="3" t="s">
        <v>14</v>
      </c>
      <c r="G246" s="3" t="s">
        <v>23</v>
      </c>
      <c r="H246" t="s">
        <v>17</v>
      </c>
      <c r="I246">
        <v>693</v>
      </c>
      <c r="J246" t="e" vm="7">
        <v>#VALUE!</v>
      </c>
      <c r="K246" t="e" cm="1" vm="2">
        <f t="array" aca="1" ref="K246" ca="1">_FV(Table2[[#This Row],[City]],"Country/region",TRUE)</f>
        <v>#VALUE!</v>
      </c>
      <c r="L246">
        <f>Table2[[#This Row],[Quantity]]*Table2[[#This Row],[Price]]</f>
        <v>9002.07</v>
      </c>
    </row>
    <row r="247" spans="2:12" x14ac:dyDescent="0.3">
      <c r="B247" s="3">
        <v>10701</v>
      </c>
      <c r="C247" s="4">
        <v>44922</v>
      </c>
      <c r="D247" t="s">
        <v>18</v>
      </c>
      <c r="E247" s="3">
        <v>9.9499999999999993</v>
      </c>
      <c r="F247" s="3" t="s">
        <v>14</v>
      </c>
      <c r="G247" s="3" t="s">
        <v>23</v>
      </c>
      <c r="H247" t="s">
        <v>17</v>
      </c>
      <c r="I247">
        <v>282</v>
      </c>
      <c r="J247" t="e" vm="7">
        <v>#VALUE!</v>
      </c>
      <c r="K247" t="e" cm="1" vm="2">
        <f t="array" aca="1" ref="K247" ca="1">_FV(Table2[[#This Row],[City]],"Country/region",TRUE)</f>
        <v>#VALUE!</v>
      </c>
      <c r="L247">
        <f>Table2[[#This Row],[Quantity]]*Table2[[#This Row],[Price]]</f>
        <v>2805.8999999999996</v>
      </c>
    </row>
    <row r="248" spans="2:12" x14ac:dyDescent="0.3">
      <c r="B248" s="3">
        <v>10702</v>
      </c>
      <c r="C248" s="4">
        <v>44922</v>
      </c>
      <c r="D248" t="s">
        <v>9</v>
      </c>
      <c r="E248" s="3">
        <v>3.49</v>
      </c>
      <c r="F248" s="3" t="s">
        <v>14</v>
      </c>
      <c r="G248" s="3" t="s">
        <v>23</v>
      </c>
      <c r="H248" t="s">
        <v>17</v>
      </c>
      <c r="I248">
        <v>631</v>
      </c>
      <c r="J248" t="e" vm="7">
        <v>#VALUE!</v>
      </c>
      <c r="K248" t="e" cm="1" vm="2">
        <f t="array" aca="1" ref="K248" ca="1">_FV(Table2[[#This Row],[City]],"Country/region",TRUE)</f>
        <v>#VALUE!</v>
      </c>
      <c r="L248">
        <f>Table2[[#This Row],[Quantity]]*Table2[[#This Row],[Price]]</f>
        <v>2202.19</v>
      </c>
    </row>
    <row r="249" spans="2:12" x14ac:dyDescent="0.3">
      <c r="B249" s="3">
        <v>10703</v>
      </c>
      <c r="C249" s="4">
        <v>44922</v>
      </c>
      <c r="D249" t="s">
        <v>12</v>
      </c>
      <c r="E249" s="3">
        <v>2.95</v>
      </c>
      <c r="F249" s="3" t="s">
        <v>14</v>
      </c>
      <c r="G249" s="3" t="s">
        <v>11</v>
      </c>
      <c r="H249" t="s">
        <v>17</v>
      </c>
      <c r="I249">
        <v>678</v>
      </c>
      <c r="J249" t="e" vm="7">
        <v>#VALUE!</v>
      </c>
      <c r="K249" t="e" cm="1" vm="2">
        <f t="array" aca="1" ref="K249" ca="1">_FV(Table2[[#This Row],[City]],"Country/region",TRUE)</f>
        <v>#VALUE!</v>
      </c>
      <c r="L249">
        <f>Table2[[#This Row],[Quantity]]*Table2[[#This Row],[Price]]</f>
        <v>2000.1000000000001</v>
      </c>
    </row>
    <row r="250" spans="2:12" x14ac:dyDescent="0.3">
      <c r="B250" s="3">
        <v>10704</v>
      </c>
      <c r="C250" s="4">
        <v>44922</v>
      </c>
      <c r="D250" t="s">
        <v>13</v>
      </c>
      <c r="E250" s="3">
        <v>4.99</v>
      </c>
      <c r="F250" s="3" t="s">
        <v>22</v>
      </c>
      <c r="G250" s="3" t="s">
        <v>11</v>
      </c>
      <c r="H250" t="s">
        <v>17</v>
      </c>
      <c r="I250">
        <v>201</v>
      </c>
      <c r="J250" t="e" vm="7">
        <v>#VALUE!</v>
      </c>
      <c r="K250" t="e" cm="1" vm="2">
        <f t="array" aca="1" ref="K250" ca="1">_FV(Table2[[#This Row],[City]],"Country/region",TRUE)</f>
        <v>#VALUE!</v>
      </c>
      <c r="L250">
        <f>Table2[[#This Row],[Quantity]]*Table2[[#This Row],[Price]]</f>
        <v>1002.99</v>
      </c>
    </row>
    <row r="251" spans="2:12" x14ac:dyDescent="0.3">
      <c r="B251" s="3">
        <v>10705</v>
      </c>
      <c r="C251" s="4">
        <v>44923</v>
      </c>
      <c r="D251" t="s">
        <v>15</v>
      </c>
      <c r="E251" s="3">
        <v>12.99</v>
      </c>
      <c r="F251" s="3" t="s">
        <v>22</v>
      </c>
      <c r="G251" s="3" t="s">
        <v>11</v>
      </c>
      <c r="H251" t="s">
        <v>17</v>
      </c>
      <c r="I251">
        <v>724</v>
      </c>
      <c r="J251" t="e" vm="7">
        <v>#VALUE!</v>
      </c>
      <c r="K251" t="e" cm="1" vm="2">
        <f t="array" aca="1" ref="K251" ca="1">_FV(Table2[[#This Row],[City]],"Country/region",TRUE)</f>
        <v>#VALUE!</v>
      </c>
      <c r="L251">
        <f>Table2[[#This Row],[Quantity]]*Table2[[#This Row],[Price]]</f>
        <v>9404.76</v>
      </c>
    </row>
    <row r="252" spans="2:12" x14ac:dyDescent="0.3">
      <c r="B252" s="3">
        <v>10706</v>
      </c>
      <c r="C252" s="4">
        <v>44923</v>
      </c>
      <c r="D252" t="s">
        <v>18</v>
      </c>
      <c r="E252" s="3">
        <v>9.9499999999999993</v>
      </c>
      <c r="F252" s="3" t="s">
        <v>22</v>
      </c>
      <c r="G252" s="3" t="s">
        <v>11</v>
      </c>
      <c r="H252" t="s">
        <v>17</v>
      </c>
      <c r="I252">
        <v>302</v>
      </c>
      <c r="J252" t="e" vm="7">
        <v>#VALUE!</v>
      </c>
      <c r="K252" t="e" cm="1" vm="2">
        <f t="array" aca="1" ref="K252" ca="1">_FV(Table2[[#This Row],[City]],"Country/region",TRUE)</f>
        <v>#VALUE!</v>
      </c>
      <c r="L252">
        <f>Table2[[#This Row],[Quantity]]*Table2[[#This Row],[Price]]</f>
        <v>3004.8999999999996</v>
      </c>
    </row>
    <row r="253" spans="2:12" x14ac:dyDescent="0.3">
      <c r="B253" s="3">
        <v>10707</v>
      </c>
      <c r="C253" s="4">
        <v>44923</v>
      </c>
      <c r="D253" t="s">
        <v>9</v>
      </c>
      <c r="E253" s="3">
        <v>3.49</v>
      </c>
      <c r="F253" s="3" t="s">
        <v>22</v>
      </c>
      <c r="G253" s="3" t="s">
        <v>11</v>
      </c>
      <c r="H253" t="s">
        <v>17</v>
      </c>
      <c r="I253">
        <v>631</v>
      </c>
      <c r="J253" t="e" vm="7">
        <v>#VALUE!</v>
      </c>
      <c r="K253" t="e" cm="1" vm="2">
        <f t="array" aca="1" ref="K253" ca="1">_FV(Table2[[#This Row],[City]],"Country/region",TRUE)</f>
        <v>#VALUE!</v>
      </c>
      <c r="L253">
        <f>Table2[[#This Row],[Quantity]]*Table2[[#This Row],[Price]]</f>
        <v>2202.19</v>
      </c>
    </row>
    <row r="254" spans="2:12" x14ac:dyDescent="0.3">
      <c r="B254" s="3">
        <v>10708</v>
      </c>
      <c r="C254" s="4">
        <v>44923</v>
      </c>
      <c r="D254" t="s">
        <v>12</v>
      </c>
      <c r="E254" s="3">
        <v>2.95</v>
      </c>
      <c r="F254" s="3" t="s">
        <v>22</v>
      </c>
      <c r="G254" s="3" t="s">
        <v>11</v>
      </c>
      <c r="H254" t="s">
        <v>17</v>
      </c>
      <c r="I254">
        <v>678</v>
      </c>
      <c r="J254" t="e" vm="7">
        <v>#VALUE!</v>
      </c>
      <c r="K254" t="e" cm="1" vm="2">
        <f t="array" aca="1" ref="K254" ca="1">_FV(Table2[[#This Row],[City]],"Country/region",TRUE)</f>
        <v>#VALUE!</v>
      </c>
      <c r="L254">
        <f>Table2[[#This Row],[Quantity]]*Table2[[#This Row],[Price]]</f>
        <v>2000.1000000000001</v>
      </c>
    </row>
    <row r="255" spans="2:12" x14ac:dyDescent="0.3">
      <c r="B255" s="3">
        <v>10709</v>
      </c>
      <c r="C255" s="4">
        <v>44923</v>
      </c>
      <c r="D255" t="s">
        <v>13</v>
      </c>
      <c r="E255" s="3">
        <v>4.99</v>
      </c>
      <c r="F255" s="3" t="s">
        <v>22</v>
      </c>
      <c r="G255" s="3" t="s">
        <v>11</v>
      </c>
      <c r="H255" t="s">
        <v>17</v>
      </c>
      <c r="I255">
        <v>201</v>
      </c>
      <c r="J255" t="e" vm="7">
        <v>#VALUE!</v>
      </c>
      <c r="K255" t="e" cm="1" vm="2">
        <f t="array" aca="1" ref="K255" ca="1">_FV(Table2[[#This Row],[City]],"Country/region",TRUE)</f>
        <v>#VALUE!</v>
      </c>
      <c r="L255">
        <f>Table2[[#This Row],[Quantity]]*Table2[[#This Row],[Price]]</f>
        <v>1002.99</v>
      </c>
    </row>
    <row r="256" spans="2:12" x14ac:dyDescent="0.3">
      <c r="B256" s="3">
        <v>10710</v>
      </c>
      <c r="C256" s="4">
        <v>44924</v>
      </c>
      <c r="D256" t="s">
        <v>15</v>
      </c>
      <c r="E256" s="3">
        <v>12.99</v>
      </c>
      <c r="F256" s="3" t="s">
        <v>22</v>
      </c>
      <c r="G256" s="3" t="s">
        <v>11</v>
      </c>
      <c r="H256" t="s">
        <v>17</v>
      </c>
      <c r="I256">
        <v>755</v>
      </c>
      <c r="J256" t="e" vm="7">
        <v>#VALUE!</v>
      </c>
      <c r="K256" t="e" cm="1" vm="2">
        <f t="array" aca="1" ref="K256" ca="1">_FV(Table2[[#This Row],[City]],"Country/region",TRUE)</f>
        <v>#VALUE!</v>
      </c>
      <c r="L256">
        <f>Table2[[#This Row],[Quantity]]*Table2[[#This Row],[Price]]</f>
        <v>9807.4500000000007</v>
      </c>
    </row>
    <row r="257" spans="2:12" x14ac:dyDescent="0.3">
      <c r="B257" s="3">
        <v>10711</v>
      </c>
      <c r="C257" s="4">
        <v>44924</v>
      </c>
      <c r="D257" t="s">
        <v>18</v>
      </c>
      <c r="E257" s="3">
        <v>9.9499999999999993</v>
      </c>
      <c r="F257" s="3" t="s">
        <v>22</v>
      </c>
      <c r="G257" s="3" t="s">
        <v>11</v>
      </c>
      <c r="H257" t="s">
        <v>17</v>
      </c>
      <c r="I257">
        <v>282</v>
      </c>
      <c r="J257" t="e" vm="7">
        <v>#VALUE!</v>
      </c>
      <c r="K257" t="e" cm="1" vm="2">
        <f t="array" aca="1" ref="K257" ca="1">_FV(Table2[[#This Row],[City]],"Country/region",TRUE)</f>
        <v>#VALUE!</v>
      </c>
      <c r="L257">
        <f>Table2[[#This Row],[Quantity]]*Table2[[#This Row],[Price]]</f>
        <v>2805.8999999999996</v>
      </c>
    </row>
    <row r="258" spans="2:12" x14ac:dyDescent="0.3">
      <c r="B258" s="3">
        <v>10712</v>
      </c>
      <c r="C258" s="4">
        <v>44924</v>
      </c>
      <c r="D258" t="s">
        <v>9</v>
      </c>
      <c r="E258" s="3">
        <v>3.49</v>
      </c>
      <c r="F258" s="3" t="s">
        <v>22</v>
      </c>
      <c r="G258" s="3" t="s">
        <v>11</v>
      </c>
      <c r="H258" t="s">
        <v>17</v>
      </c>
      <c r="I258">
        <v>631</v>
      </c>
      <c r="J258" t="e" vm="7">
        <v>#VALUE!</v>
      </c>
      <c r="K258" t="e" cm="1" vm="2">
        <f t="array" aca="1" ref="K258" ca="1">_FV(Table2[[#This Row],[City]],"Country/region",TRUE)</f>
        <v>#VALUE!</v>
      </c>
      <c r="L258">
        <f>Table2[[#This Row],[Quantity]]*Table2[[#This Row],[Price]]</f>
        <v>2202.19</v>
      </c>
    </row>
    <row r="259" spans="2:12" x14ac:dyDescent="0.3">
      <c r="B259" s="3">
        <v>10713</v>
      </c>
      <c r="C259" s="4">
        <v>44924</v>
      </c>
      <c r="D259" t="s">
        <v>12</v>
      </c>
      <c r="E259" s="3">
        <v>2.95</v>
      </c>
      <c r="F259" s="3" t="s">
        <v>22</v>
      </c>
      <c r="G259" s="3" t="s">
        <v>11</v>
      </c>
      <c r="H259" t="s">
        <v>17</v>
      </c>
      <c r="I259">
        <v>678</v>
      </c>
      <c r="J259" t="e" vm="7">
        <v>#VALUE!</v>
      </c>
      <c r="K259" t="e" cm="1" vm="2">
        <f t="array" aca="1" ref="K259" ca="1">_FV(Table2[[#This Row],[City]],"Country/region",TRUE)</f>
        <v>#VALUE!</v>
      </c>
      <c r="L259">
        <f>Table2[[#This Row],[Quantity]]*Table2[[#This Row],[Price]]</f>
        <v>2000.1000000000001</v>
      </c>
    </row>
  </sheetData>
  <phoneticPr fontId="17" type="noConversion"/>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3B870-70F9-2142-A792-3E9BFAB50EAE}">
  <dimension ref="B2:M256"/>
  <sheetViews>
    <sheetView workbookViewId="0"/>
  </sheetViews>
  <sheetFormatPr defaultColWidth="10.69921875" defaultRowHeight="15.6" x14ac:dyDescent="0.3"/>
  <sheetData>
    <row r="2" spans="2:13" x14ac:dyDescent="0.3">
      <c r="B2" s="1" t="s">
        <v>0</v>
      </c>
      <c r="C2" s="1" t="s">
        <v>1</v>
      </c>
      <c r="D2" s="1" t="s">
        <v>2</v>
      </c>
      <c r="E2" s="2" t="s">
        <v>3</v>
      </c>
      <c r="F2" s="1" t="s">
        <v>4</v>
      </c>
      <c r="G2" s="2" t="s">
        <v>34</v>
      </c>
      <c r="H2" s="1" t="s">
        <v>8</v>
      </c>
      <c r="I2" s="1" t="s">
        <v>31</v>
      </c>
      <c r="J2" s="1" t="s">
        <v>5</v>
      </c>
      <c r="K2" s="1" t="s">
        <v>6</v>
      </c>
      <c r="L2" s="1" t="s">
        <v>7</v>
      </c>
      <c r="M2" s="1" t="s">
        <v>32</v>
      </c>
    </row>
    <row r="3" spans="2:13" x14ac:dyDescent="0.3">
      <c r="B3" s="3">
        <v>10452</v>
      </c>
      <c r="C3" s="4">
        <v>44872</v>
      </c>
      <c r="D3" t="s">
        <v>9</v>
      </c>
      <c r="E3" s="3">
        <v>3.49</v>
      </c>
      <c r="F3" s="19">
        <v>574</v>
      </c>
      <c r="G3" s="3">
        <v>0.88</v>
      </c>
      <c r="H3" t="e" vm="9">
        <v>#VALUE!</v>
      </c>
      <c r="I3" t="e" cm="1" vm="10">
        <f t="array" ref="I3">_FV(H3,"Country/region",TRUE)</f>
        <v>#VALUE!</v>
      </c>
      <c r="J3" t="s">
        <v>10</v>
      </c>
      <c r="K3" t="s">
        <v>11</v>
      </c>
      <c r="L3" t="s">
        <v>24</v>
      </c>
      <c r="M3">
        <f>Table1[[#This Row],[Price]]*Table1[[#This Row],[Quantity]]</f>
        <v>2003.2600000000002</v>
      </c>
    </row>
    <row r="4" spans="2:13" x14ac:dyDescent="0.3">
      <c r="B4" s="3">
        <v>10453</v>
      </c>
      <c r="C4" s="4">
        <v>44872</v>
      </c>
      <c r="D4" t="s">
        <v>12</v>
      </c>
      <c r="E4" s="3">
        <v>2.95</v>
      </c>
      <c r="F4" s="19">
        <v>746</v>
      </c>
      <c r="G4" s="3">
        <v>0.47</v>
      </c>
      <c r="H4" t="e" vm="11">
        <v>#VALUE!</v>
      </c>
      <c r="I4" t="e" cm="1" vm="12">
        <f t="array" ref="I4">_FV(H4,"Country/region",TRUE)</f>
        <v>#VALUE!</v>
      </c>
      <c r="J4" t="s">
        <v>10</v>
      </c>
      <c r="K4" t="s">
        <v>11</v>
      </c>
      <c r="L4" t="s">
        <v>20</v>
      </c>
      <c r="M4">
        <f>Table1[[#This Row],[Price]]*Table1[[#This Row],[Quantity]]</f>
        <v>2200.7000000000003</v>
      </c>
    </row>
    <row r="5" spans="2:13" x14ac:dyDescent="0.3">
      <c r="B5" s="3">
        <v>10454</v>
      </c>
      <c r="C5" s="4">
        <v>44872</v>
      </c>
      <c r="D5" t="s">
        <v>13</v>
      </c>
      <c r="E5" s="3">
        <v>4.99</v>
      </c>
      <c r="F5" s="19">
        <v>201</v>
      </c>
      <c r="G5" s="3">
        <v>2.25</v>
      </c>
      <c r="H5" t="e" vm="13">
        <v>#VALUE!</v>
      </c>
      <c r="I5" t="e" cm="1" vm="14">
        <f t="array" ref="I5">_FV(H5,"Country/region",TRUE)</f>
        <v>#VALUE!</v>
      </c>
      <c r="J5" t="s">
        <v>14</v>
      </c>
      <c r="K5" t="s">
        <v>11</v>
      </c>
      <c r="L5" t="s">
        <v>21</v>
      </c>
      <c r="M5">
        <f>Table1[[#This Row],[Price]]*Table1[[#This Row],[Quantity]]</f>
        <v>1002.99</v>
      </c>
    </row>
    <row r="6" spans="2:13" x14ac:dyDescent="0.3">
      <c r="B6" s="3">
        <v>10455</v>
      </c>
      <c r="C6" s="4">
        <v>44873</v>
      </c>
      <c r="D6" t="s">
        <v>15</v>
      </c>
      <c r="E6" s="3">
        <v>12.99</v>
      </c>
      <c r="F6" s="19">
        <v>570</v>
      </c>
      <c r="G6" s="3">
        <v>4.32</v>
      </c>
      <c r="H6" t="e" vm="15">
        <v>#VALUE!</v>
      </c>
      <c r="I6" t="e" cm="1" vm="16">
        <f t="array" ref="I6">_FV(H6,"Country/region",TRUE)</f>
        <v>#VALUE!</v>
      </c>
      <c r="J6" t="s">
        <v>14</v>
      </c>
      <c r="K6" t="s">
        <v>16</v>
      </c>
      <c r="L6" t="s">
        <v>17</v>
      </c>
      <c r="M6">
        <f>Table1[[#This Row],[Price]]*Table1[[#This Row],[Quantity]]</f>
        <v>7404.3</v>
      </c>
    </row>
    <row r="7" spans="2:13" x14ac:dyDescent="0.3">
      <c r="B7" s="3">
        <v>10456</v>
      </c>
      <c r="C7" s="4">
        <v>44873</v>
      </c>
      <c r="D7" t="s">
        <v>18</v>
      </c>
      <c r="E7" s="3">
        <v>9.9499999999999993</v>
      </c>
      <c r="F7" s="19">
        <v>202</v>
      </c>
      <c r="G7" s="3">
        <v>2.85</v>
      </c>
      <c r="H7" t="e" vm="15">
        <v>#VALUE!</v>
      </c>
      <c r="I7" t="e" cm="1" vm="16">
        <f t="array" ref="I7">_FV(H7,"Country/region",TRUE)</f>
        <v>#VALUE!</v>
      </c>
      <c r="J7" t="s">
        <v>14</v>
      </c>
      <c r="K7" t="s">
        <v>16</v>
      </c>
      <c r="L7" t="s">
        <v>17</v>
      </c>
      <c r="M7">
        <f>Table1[[#This Row],[Price]]*Table1[[#This Row],[Quantity]]</f>
        <v>2009.8999999999999</v>
      </c>
    </row>
    <row r="8" spans="2:13" x14ac:dyDescent="0.3">
      <c r="B8" s="3">
        <v>10457</v>
      </c>
      <c r="C8" s="4">
        <v>44873</v>
      </c>
      <c r="D8" t="s">
        <v>9</v>
      </c>
      <c r="E8" s="3">
        <v>3.49</v>
      </c>
      <c r="F8" s="19">
        <v>574</v>
      </c>
      <c r="G8" s="3">
        <v>0.88</v>
      </c>
      <c r="H8" t="e" vm="17">
        <v>#VALUE!</v>
      </c>
      <c r="I8" t="e" cm="1" vm="18">
        <f t="array" ref="I8">_FV(H8,"Country/region",TRUE)</f>
        <v>#VALUE!</v>
      </c>
      <c r="J8" t="s">
        <v>14</v>
      </c>
      <c r="K8" t="s">
        <v>16</v>
      </c>
      <c r="L8" t="s">
        <v>19</v>
      </c>
      <c r="M8">
        <f>Table1[[#This Row],[Price]]*Table1[[#This Row],[Quantity]]</f>
        <v>2003.2600000000002</v>
      </c>
    </row>
    <row r="9" spans="2:13" x14ac:dyDescent="0.3">
      <c r="B9" s="3">
        <v>10459</v>
      </c>
      <c r="C9" s="4">
        <v>44873</v>
      </c>
      <c r="D9" t="s">
        <v>13</v>
      </c>
      <c r="E9" s="3">
        <v>4.99</v>
      </c>
      <c r="F9" s="19">
        <v>201</v>
      </c>
      <c r="G9" s="3">
        <v>2.25</v>
      </c>
      <c r="H9" t="e" vm="17">
        <v>#VALUE!</v>
      </c>
      <c r="I9" t="e" cm="1" vm="18">
        <f t="array" ref="I9">_FV(H9,"Country/region",TRUE)</f>
        <v>#VALUE!</v>
      </c>
      <c r="J9" t="s">
        <v>14</v>
      </c>
      <c r="K9" t="s">
        <v>16</v>
      </c>
      <c r="L9" t="s">
        <v>19</v>
      </c>
      <c r="M9">
        <f>Table1[[#This Row],[Price]]*Table1[[#This Row],[Quantity]]</f>
        <v>1002.99</v>
      </c>
    </row>
    <row r="10" spans="2:13" x14ac:dyDescent="0.3">
      <c r="B10" s="3">
        <v>10460</v>
      </c>
      <c r="C10" s="4">
        <v>44874</v>
      </c>
      <c r="D10" t="s">
        <v>15</v>
      </c>
      <c r="E10" s="3">
        <v>12.99</v>
      </c>
      <c r="F10" s="19">
        <v>555</v>
      </c>
      <c r="G10" s="3">
        <v>4.32</v>
      </c>
      <c r="H10" t="e" vm="15">
        <v>#VALUE!</v>
      </c>
      <c r="I10" t="e" cm="1" vm="16">
        <f t="array" ref="I10">_FV(H10,"Country/region",TRUE)</f>
        <v>#VALUE!</v>
      </c>
      <c r="J10" t="s">
        <v>14</v>
      </c>
      <c r="K10" t="s">
        <v>16</v>
      </c>
      <c r="L10" t="s">
        <v>17</v>
      </c>
      <c r="M10">
        <f>Table1[[#This Row],[Price]]*Table1[[#This Row],[Quantity]]</f>
        <v>7209.45</v>
      </c>
    </row>
    <row r="11" spans="2:13" x14ac:dyDescent="0.3">
      <c r="B11" s="3">
        <v>10461</v>
      </c>
      <c r="C11" s="4">
        <v>44874</v>
      </c>
      <c r="D11" t="s">
        <v>18</v>
      </c>
      <c r="E11" s="3">
        <v>9.9499999999999993</v>
      </c>
      <c r="F11" s="19">
        <v>202</v>
      </c>
      <c r="G11" s="3">
        <v>2.85</v>
      </c>
      <c r="H11" t="e" vm="17">
        <v>#VALUE!</v>
      </c>
      <c r="I11" t="e" cm="1" vm="18">
        <f t="array" ref="I11">_FV(H11,"Country/region",TRUE)</f>
        <v>#VALUE!</v>
      </c>
      <c r="J11" t="s">
        <v>14</v>
      </c>
      <c r="K11" t="s">
        <v>16</v>
      </c>
      <c r="L11" t="s">
        <v>19</v>
      </c>
      <c r="M11">
        <f>Table1[[#This Row],[Price]]*Table1[[#This Row],[Quantity]]</f>
        <v>2009.8999999999999</v>
      </c>
    </row>
    <row r="12" spans="2:13" x14ac:dyDescent="0.3">
      <c r="B12" s="3">
        <v>10462</v>
      </c>
      <c r="C12" s="4">
        <v>44874</v>
      </c>
      <c r="D12" t="s">
        <v>9</v>
      </c>
      <c r="E12" s="3">
        <v>3.49</v>
      </c>
      <c r="F12" s="19">
        <v>574</v>
      </c>
      <c r="G12" s="3">
        <v>0.88</v>
      </c>
      <c r="H12" t="e" vm="17">
        <v>#VALUE!</v>
      </c>
      <c r="I12" t="e" cm="1" vm="18">
        <f t="array" ref="I12">_FV(H12,"Country/region",TRUE)</f>
        <v>#VALUE!</v>
      </c>
      <c r="J12" t="s">
        <v>14</v>
      </c>
      <c r="K12" t="s">
        <v>16</v>
      </c>
      <c r="L12" t="s">
        <v>19</v>
      </c>
      <c r="M12">
        <f>Table1[[#This Row],[Price]]*Table1[[#This Row],[Quantity]]</f>
        <v>2003.2600000000002</v>
      </c>
    </row>
    <row r="13" spans="2:13" x14ac:dyDescent="0.3">
      <c r="B13" s="3">
        <v>10463</v>
      </c>
      <c r="C13" s="4">
        <v>44874</v>
      </c>
      <c r="D13" t="s">
        <v>12</v>
      </c>
      <c r="E13" s="3">
        <v>2.95</v>
      </c>
      <c r="F13" s="19">
        <v>678</v>
      </c>
      <c r="G13" s="3">
        <v>0.47</v>
      </c>
      <c r="H13" t="e" vm="17">
        <v>#VALUE!</v>
      </c>
      <c r="I13" t="e" cm="1" vm="18">
        <f t="array" ref="I13">_FV(H13,"Country/region",TRUE)</f>
        <v>#VALUE!</v>
      </c>
      <c r="J13" t="s">
        <v>14</v>
      </c>
      <c r="K13" t="s">
        <v>16</v>
      </c>
      <c r="L13" t="s">
        <v>19</v>
      </c>
      <c r="M13">
        <f>Table1[[#This Row],[Price]]*Table1[[#This Row],[Quantity]]</f>
        <v>2000.1000000000001</v>
      </c>
    </row>
    <row r="14" spans="2:13" x14ac:dyDescent="0.3">
      <c r="B14" s="3">
        <v>10464</v>
      </c>
      <c r="C14" s="4">
        <v>44874</v>
      </c>
      <c r="D14" t="s">
        <v>13</v>
      </c>
      <c r="E14" s="3">
        <v>4.99</v>
      </c>
      <c r="F14" s="19">
        <v>201</v>
      </c>
      <c r="G14" s="3">
        <v>2.25</v>
      </c>
      <c r="H14" t="e" vm="17">
        <v>#VALUE!</v>
      </c>
      <c r="I14" t="e" cm="1" vm="18">
        <f t="array" ref="I14">_FV(H14,"Country/region",TRUE)</f>
        <v>#VALUE!</v>
      </c>
      <c r="J14" t="s">
        <v>14</v>
      </c>
      <c r="K14" t="s">
        <v>16</v>
      </c>
      <c r="L14" t="s">
        <v>19</v>
      </c>
      <c r="M14">
        <f>Table1[[#This Row],[Price]]*Table1[[#This Row],[Quantity]]</f>
        <v>1002.99</v>
      </c>
    </row>
    <row r="15" spans="2:13" x14ac:dyDescent="0.3">
      <c r="B15" s="3">
        <v>10465</v>
      </c>
      <c r="C15" s="4">
        <v>44875</v>
      </c>
      <c r="D15" t="s">
        <v>15</v>
      </c>
      <c r="E15" s="3">
        <v>12.99</v>
      </c>
      <c r="F15" s="19">
        <v>555</v>
      </c>
      <c r="G15" s="3">
        <v>4.32</v>
      </c>
      <c r="H15" t="e" vm="11">
        <v>#VALUE!</v>
      </c>
      <c r="I15" t="e" cm="1" vm="12">
        <f t="array" ref="I15">_FV(H15,"Country/region",TRUE)</f>
        <v>#VALUE!</v>
      </c>
      <c r="J15" t="s">
        <v>14</v>
      </c>
      <c r="K15" t="s">
        <v>16</v>
      </c>
      <c r="L15" t="s">
        <v>20</v>
      </c>
      <c r="M15">
        <f>Table1[[#This Row],[Price]]*Table1[[#This Row],[Quantity]]</f>
        <v>7209.45</v>
      </c>
    </row>
    <row r="16" spans="2:13" x14ac:dyDescent="0.3">
      <c r="B16" s="3">
        <v>10466</v>
      </c>
      <c r="C16" s="4">
        <v>44875</v>
      </c>
      <c r="D16" t="s">
        <v>18</v>
      </c>
      <c r="E16" s="3">
        <v>9.9499999999999993</v>
      </c>
      <c r="F16" s="19">
        <v>202</v>
      </c>
      <c r="G16" s="3">
        <v>2.85</v>
      </c>
      <c r="H16" t="e" vm="11">
        <v>#VALUE!</v>
      </c>
      <c r="I16" t="e" cm="1" vm="12">
        <f t="array" ref="I16">_FV(H16,"Country/region",TRUE)</f>
        <v>#VALUE!</v>
      </c>
      <c r="J16" t="s">
        <v>14</v>
      </c>
      <c r="K16" t="s">
        <v>16</v>
      </c>
      <c r="L16" t="s">
        <v>20</v>
      </c>
      <c r="M16">
        <f>Table1[[#This Row],[Price]]*Table1[[#This Row],[Quantity]]</f>
        <v>2009.8999999999999</v>
      </c>
    </row>
    <row r="17" spans="2:13" x14ac:dyDescent="0.3">
      <c r="B17" s="3">
        <v>10467</v>
      </c>
      <c r="C17" s="4">
        <v>44875</v>
      </c>
      <c r="D17" t="s">
        <v>9</v>
      </c>
      <c r="E17" s="3">
        <v>3.49</v>
      </c>
      <c r="F17" s="19">
        <v>574</v>
      </c>
      <c r="G17" s="3">
        <v>0.88</v>
      </c>
      <c r="H17" t="e" vm="11">
        <v>#VALUE!</v>
      </c>
      <c r="I17" t="e" cm="1" vm="12">
        <f t="array" ref="I17">_FV(H17,"Country/region",TRUE)</f>
        <v>#VALUE!</v>
      </c>
      <c r="J17" t="s">
        <v>14</v>
      </c>
      <c r="K17" t="s">
        <v>16</v>
      </c>
      <c r="L17" t="s">
        <v>20</v>
      </c>
      <c r="M17">
        <f>Table1[[#This Row],[Price]]*Table1[[#This Row],[Quantity]]</f>
        <v>2003.2600000000002</v>
      </c>
    </row>
    <row r="18" spans="2:13" x14ac:dyDescent="0.3">
      <c r="B18" s="3">
        <v>10468</v>
      </c>
      <c r="C18" s="4">
        <v>44875</v>
      </c>
      <c r="D18" t="s">
        <v>12</v>
      </c>
      <c r="E18" s="3">
        <v>2.95</v>
      </c>
      <c r="F18" s="19">
        <v>678</v>
      </c>
      <c r="G18" s="3">
        <v>0.47</v>
      </c>
      <c r="H18" t="e" vm="11">
        <v>#VALUE!</v>
      </c>
      <c r="I18" t="e" cm="1" vm="12">
        <f t="array" ref="I18">_FV(H18,"Country/region",TRUE)</f>
        <v>#VALUE!</v>
      </c>
      <c r="J18" t="s">
        <v>14</v>
      </c>
      <c r="K18" t="s">
        <v>16</v>
      </c>
      <c r="L18" t="s">
        <v>20</v>
      </c>
      <c r="M18">
        <f>Table1[[#This Row],[Price]]*Table1[[#This Row],[Quantity]]</f>
        <v>2000.1000000000001</v>
      </c>
    </row>
    <row r="19" spans="2:13" x14ac:dyDescent="0.3">
      <c r="B19" s="3">
        <v>10470</v>
      </c>
      <c r="C19" s="4">
        <v>44876</v>
      </c>
      <c r="D19" t="s">
        <v>15</v>
      </c>
      <c r="E19" s="3">
        <v>12.99</v>
      </c>
      <c r="F19" s="19">
        <v>555</v>
      </c>
      <c r="G19" s="3">
        <v>4.32</v>
      </c>
      <c r="H19" t="e" vm="11">
        <v>#VALUE!</v>
      </c>
      <c r="I19" t="e" cm="1" vm="12">
        <f t="array" ref="I19">_FV(H19,"Country/region",TRUE)</f>
        <v>#VALUE!</v>
      </c>
      <c r="J19" t="s">
        <v>14</v>
      </c>
      <c r="K19" t="s">
        <v>16</v>
      </c>
      <c r="L19" t="s">
        <v>20</v>
      </c>
      <c r="M19">
        <f>Table1[[#This Row],[Price]]*Table1[[#This Row],[Quantity]]</f>
        <v>7209.45</v>
      </c>
    </row>
    <row r="20" spans="2:13" x14ac:dyDescent="0.3">
      <c r="B20" s="3">
        <v>10471</v>
      </c>
      <c r="C20" s="4">
        <v>44876</v>
      </c>
      <c r="D20" t="s">
        <v>18</v>
      </c>
      <c r="E20" s="3">
        <v>9.9499999999999993</v>
      </c>
      <c r="F20" s="19">
        <v>202</v>
      </c>
      <c r="G20" s="3">
        <v>2.85</v>
      </c>
      <c r="H20" t="e" vm="11">
        <v>#VALUE!</v>
      </c>
      <c r="I20" t="e" cm="1" vm="12">
        <f t="array" ref="I20">_FV(H20,"Country/region",TRUE)</f>
        <v>#VALUE!</v>
      </c>
      <c r="J20" t="s">
        <v>14</v>
      </c>
      <c r="K20" t="s">
        <v>16</v>
      </c>
      <c r="L20" t="s">
        <v>20</v>
      </c>
      <c r="M20">
        <f>Table1[[#This Row],[Price]]*Table1[[#This Row],[Quantity]]</f>
        <v>2009.8999999999999</v>
      </c>
    </row>
    <row r="21" spans="2:13" x14ac:dyDescent="0.3">
      <c r="B21" s="3">
        <v>10472</v>
      </c>
      <c r="C21" s="4">
        <v>44876</v>
      </c>
      <c r="D21" t="s">
        <v>9</v>
      </c>
      <c r="E21" s="3">
        <v>3.49</v>
      </c>
      <c r="F21" s="19">
        <v>631</v>
      </c>
      <c r="G21" s="3">
        <v>0.88</v>
      </c>
      <c r="H21" t="e" vm="11">
        <v>#VALUE!</v>
      </c>
      <c r="I21" t="e" cm="1" vm="12">
        <f t="array" ref="I21">_FV(H21,"Country/region",TRUE)</f>
        <v>#VALUE!</v>
      </c>
      <c r="J21" t="s">
        <v>14</v>
      </c>
      <c r="K21" t="s">
        <v>16</v>
      </c>
      <c r="L21" t="s">
        <v>20</v>
      </c>
      <c r="M21">
        <f>Table1[[#This Row],[Price]]*Table1[[#This Row],[Quantity]]</f>
        <v>2202.19</v>
      </c>
    </row>
    <row r="22" spans="2:13" x14ac:dyDescent="0.3">
      <c r="B22" s="3">
        <v>10473</v>
      </c>
      <c r="C22" s="4">
        <v>44876</v>
      </c>
      <c r="D22" t="s">
        <v>12</v>
      </c>
      <c r="E22" s="3">
        <v>2.95</v>
      </c>
      <c r="F22" s="19">
        <v>678</v>
      </c>
      <c r="G22" s="3">
        <v>0.47</v>
      </c>
      <c r="H22" t="e" vm="11">
        <v>#VALUE!</v>
      </c>
      <c r="I22" t="e" cm="1" vm="12">
        <f t="array" ref="I22">_FV(H22,"Country/region",TRUE)</f>
        <v>#VALUE!</v>
      </c>
      <c r="J22" t="s">
        <v>14</v>
      </c>
      <c r="K22" t="s">
        <v>16</v>
      </c>
      <c r="L22" t="s">
        <v>20</v>
      </c>
      <c r="M22">
        <f>Table1[[#This Row],[Price]]*Table1[[#This Row],[Quantity]]</f>
        <v>2000.1000000000001</v>
      </c>
    </row>
    <row r="23" spans="2:13" x14ac:dyDescent="0.3">
      <c r="B23" s="3">
        <v>10474</v>
      </c>
      <c r="C23" s="4">
        <v>44876</v>
      </c>
      <c r="D23" t="s">
        <v>13</v>
      </c>
      <c r="E23" s="3">
        <v>4.99</v>
      </c>
      <c r="F23" s="19">
        <v>201</v>
      </c>
      <c r="G23" s="3">
        <v>2.25</v>
      </c>
      <c r="H23" t="e" vm="11">
        <v>#VALUE!</v>
      </c>
      <c r="I23" t="e" cm="1" vm="12">
        <f t="array" ref="I23">_FV(H23,"Country/region",TRUE)</f>
        <v>#VALUE!</v>
      </c>
      <c r="J23" t="s">
        <v>14</v>
      </c>
      <c r="K23" t="s">
        <v>16</v>
      </c>
      <c r="L23" t="s">
        <v>20</v>
      </c>
      <c r="M23">
        <f>Table1[[#This Row],[Price]]*Table1[[#This Row],[Quantity]]</f>
        <v>1002.99</v>
      </c>
    </row>
    <row r="24" spans="2:13" x14ac:dyDescent="0.3">
      <c r="B24" s="3">
        <v>10475</v>
      </c>
      <c r="C24" s="4">
        <v>44877</v>
      </c>
      <c r="D24" t="s">
        <v>15</v>
      </c>
      <c r="E24" s="3">
        <v>12.99</v>
      </c>
      <c r="F24" s="19">
        <v>524</v>
      </c>
      <c r="G24" s="3">
        <v>4.32</v>
      </c>
      <c r="H24" t="e" vm="11">
        <v>#VALUE!</v>
      </c>
      <c r="I24" t="e" cm="1" vm="12">
        <f t="array" ref="I24">_FV(H24,"Country/region",TRUE)</f>
        <v>#VALUE!</v>
      </c>
      <c r="J24" t="s">
        <v>14</v>
      </c>
      <c r="K24" t="s">
        <v>16</v>
      </c>
      <c r="L24" t="s">
        <v>20</v>
      </c>
      <c r="M24">
        <f>Table1[[#This Row],[Price]]*Table1[[#This Row],[Quantity]]</f>
        <v>6806.76</v>
      </c>
    </row>
    <row r="25" spans="2:13" x14ac:dyDescent="0.3">
      <c r="B25" s="3">
        <v>10476</v>
      </c>
      <c r="C25" s="4">
        <v>44877</v>
      </c>
      <c r="D25" t="s">
        <v>18</v>
      </c>
      <c r="E25" s="3">
        <v>9.9499999999999993</v>
      </c>
      <c r="F25" s="19">
        <v>202</v>
      </c>
      <c r="G25" s="3">
        <v>2.85</v>
      </c>
      <c r="H25" t="e" vm="11">
        <v>#VALUE!</v>
      </c>
      <c r="I25" t="e" cm="1" vm="12">
        <f t="array" ref="I25">_FV(H25,"Country/region",TRUE)</f>
        <v>#VALUE!</v>
      </c>
      <c r="J25" t="s">
        <v>14</v>
      </c>
      <c r="K25" t="s">
        <v>16</v>
      </c>
      <c r="L25" t="s">
        <v>20</v>
      </c>
      <c r="M25">
        <f>Table1[[#This Row],[Price]]*Table1[[#This Row],[Quantity]]</f>
        <v>2009.8999999999999</v>
      </c>
    </row>
    <row r="26" spans="2:13" x14ac:dyDescent="0.3">
      <c r="B26" s="3">
        <v>10477</v>
      </c>
      <c r="C26" s="4">
        <v>44877</v>
      </c>
      <c r="D26" t="s">
        <v>9</v>
      </c>
      <c r="E26" s="3">
        <v>3.49</v>
      </c>
      <c r="F26" s="19">
        <v>631</v>
      </c>
      <c r="G26" s="3">
        <v>0.88</v>
      </c>
      <c r="H26" t="e" vm="11">
        <v>#VALUE!</v>
      </c>
      <c r="I26" t="e" cm="1" vm="12">
        <f t="array" ref="I26">_FV(H26,"Country/region",TRUE)</f>
        <v>#VALUE!</v>
      </c>
      <c r="J26" t="s">
        <v>14</v>
      </c>
      <c r="K26" t="s">
        <v>16</v>
      </c>
      <c r="L26" t="s">
        <v>20</v>
      </c>
      <c r="M26">
        <f>Table1[[#This Row],[Price]]*Table1[[#This Row],[Quantity]]</f>
        <v>2202.19</v>
      </c>
    </row>
    <row r="27" spans="2:13" x14ac:dyDescent="0.3">
      <c r="B27" s="3">
        <v>10478</v>
      </c>
      <c r="C27" s="4">
        <v>44877</v>
      </c>
      <c r="D27" t="s">
        <v>12</v>
      </c>
      <c r="E27" s="3">
        <v>2.95</v>
      </c>
      <c r="F27" s="19">
        <v>678</v>
      </c>
      <c r="G27" s="3">
        <v>0.47</v>
      </c>
      <c r="H27" t="e" vm="11">
        <v>#VALUE!</v>
      </c>
      <c r="I27" t="e" cm="1" vm="12">
        <f t="array" ref="I27">_FV(H27,"Country/region",TRUE)</f>
        <v>#VALUE!</v>
      </c>
      <c r="J27" t="s">
        <v>14</v>
      </c>
      <c r="K27" t="s">
        <v>16</v>
      </c>
      <c r="L27" t="s">
        <v>20</v>
      </c>
      <c r="M27">
        <f>Table1[[#This Row],[Price]]*Table1[[#This Row],[Quantity]]</f>
        <v>2000.1000000000001</v>
      </c>
    </row>
    <row r="28" spans="2:13" x14ac:dyDescent="0.3">
      <c r="B28" s="3">
        <v>10479</v>
      </c>
      <c r="C28" s="4">
        <v>44877</v>
      </c>
      <c r="D28" t="s">
        <v>13</v>
      </c>
      <c r="E28" s="3">
        <v>4.99</v>
      </c>
      <c r="F28" s="19">
        <v>201</v>
      </c>
      <c r="G28" s="3">
        <v>2.25</v>
      </c>
      <c r="H28" t="e" vm="11">
        <v>#VALUE!</v>
      </c>
      <c r="I28" t="e" cm="1" vm="12">
        <f t="array" ref="I28">_FV(H28,"Country/region",TRUE)</f>
        <v>#VALUE!</v>
      </c>
      <c r="J28" t="s">
        <v>14</v>
      </c>
      <c r="K28" t="s">
        <v>16</v>
      </c>
      <c r="L28" t="s">
        <v>20</v>
      </c>
      <c r="M28">
        <f>Table1[[#This Row],[Price]]*Table1[[#This Row],[Quantity]]</f>
        <v>1002.99</v>
      </c>
    </row>
    <row r="29" spans="2:13" x14ac:dyDescent="0.3">
      <c r="B29" s="3">
        <v>10480</v>
      </c>
      <c r="C29" s="4">
        <v>44878</v>
      </c>
      <c r="D29" t="s">
        <v>15</v>
      </c>
      <c r="E29" s="3">
        <v>12.99</v>
      </c>
      <c r="F29" s="19">
        <v>509</v>
      </c>
      <c r="G29" s="3">
        <v>4.32</v>
      </c>
      <c r="H29" t="e" vm="11">
        <v>#VALUE!</v>
      </c>
      <c r="I29" t="e" cm="1" vm="12">
        <f t="array" ref="I29">_FV(H29,"Country/region",TRUE)</f>
        <v>#VALUE!</v>
      </c>
      <c r="J29" t="s">
        <v>14</v>
      </c>
      <c r="K29" t="s">
        <v>16</v>
      </c>
      <c r="L29" t="s">
        <v>20</v>
      </c>
      <c r="M29">
        <f>Table1[[#This Row],[Price]]*Table1[[#This Row],[Quantity]]</f>
        <v>6611.91</v>
      </c>
    </row>
    <row r="30" spans="2:13" x14ac:dyDescent="0.3">
      <c r="B30" s="3">
        <v>10481</v>
      </c>
      <c r="C30" s="4">
        <v>44878</v>
      </c>
      <c r="D30" t="s">
        <v>18</v>
      </c>
      <c r="E30" s="3">
        <v>9.9499999999999993</v>
      </c>
      <c r="F30" s="19">
        <v>202</v>
      </c>
      <c r="G30" s="3">
        <v>2.85</v>
      </c>
      <c r="H30" t="e" vm="11">
        <v>#VALUE!</v>
      </c>
      <c r="I30" t="e" cm="1" vm="12">
        <f t="array" ref="I30">_FV(H30,"Country/region",TRUE)</f>
        <v>#VALUE!</v>
      </c>
      <c r="J30" t="s">
        <v>14</v>
      </c>
      <c r="K30" t="s">
        <v>16</v>
      </c>
      <c r="L30" t="s">
        <v>20</v>
      </c>
      <c r="M30">
        <f>Table1[[#This Row],[Price]]*Table1[[#This Row],[Quantity]]</f>
        <v>2009.8999999999999</v>
      </c>
    </row>
    <row r="31" spans="2:13" x14ac:dyDescent="0.3">
      <c r="B31" s="3">
        <v>10482</v>
      </c>
      <c r="C31" s="4">
        <v>44878</v>
      </c>
      <c r="D31" t="s">
        <v>9</v>
      </c>
      <c r="E31" s="3">
        <v>25.5</v>
      </c>
      <c r="F31" s="19">
        <v>631</v>
      </c>
      <c r="G31" s="3">
        <v>0.88</v>
      </c>
      <c r="H31" t="e" vm="13">
        <v>#VALUE!</v>
      </c>
      <c r="I31" t="e" cm="1" vm="14">
        <f t="array" ref="I31">_FV(H31,"Country/region",TRUE)</f>
        <v>#VALUE!</v>
      </c>
      <c r="J31" t="s">
        <v>14</v>
      </c>
      <c r="K31" t="s">
        <v>16</v>
      </c>
      <c r="L31" t="s">
        <v>21</v>
      </c>
      <c r="M31">
        <f>Table1[[#This Row],[Price]]*Table1[[#This Row],[Quantity]]</f>
        <v>16090.5</v>
      </c>
    </row>
    <row r="32" spans="2:13" x14ac:dyDescent="0.3">
      <c r="B32" s="3">
        <v>10483</v>
      </c>
      <c r="C32" s="4">
        <v>44878</v>
      </c>
      <c r="D32" t="s">
        <v>12</v>
      </c>
      <c r="E32" s="3">
        <v>33.22</v>
      </c>
      <c r="F32" s="19">
        <v>678</v>
      </c>
      <c r="G32" s="3">
        <v>0.47</v>
      </c>
      <c r="H32" t="e" vm="13">
        <v>#VALUE!</v>
      </c>
      <c r="I32" t="e" cm="1" vm="14">
        <f t="array" ref="I32">_FV(H32,"Country/region",TRUE)</f>
        <v>#VALUE!</v>
      </c>
      <c r="J32" t="s">
        <v>14</v>
      </c>
      <c r="K32" t="s">
        <v>16</v>
      </c>
      <c r="L32" t="s">
        <v>21</v>
      </c>
      <c r="M32">
        <f>Table1[[#This Row],[Price]]*Table1[[#This Row],[Quantity]]</f>
        <v>22523.16</v>
      </c>
    </row>
    <row r="33" spans="2:13" x14ac:dyDescent="0.3">
      <c r="B33" s="3">
        <v>10484</v>
      </c>
      <c r="C33" s="4">
        <v>44878</v>
      </c>
      <c r="D33" t="s">
        <v>13</v>
      </c>
      <c r="E33" s="3">
        <v>21.44</v>
      </c>
      <c r="F33" s="19">
        <v>201</v>
      </c>
      <c r="G33" s="3">
        <v>2.25</v>
      </c>
      <c r="H33" t="e" vm="13">
        <v>#VALUE!</v>
      </c>
      <c r="I33" t="e" cm="1" vm="14">
        <f t="array" ref="I33">_FV(H33,"Country/region",TRUE)</f>
        <v>#VALUE!</v>
      </c>
      <c r="J33" t="s">
        <v>14</v>
      </c>
      <c r="K33" t="s">
        <v>16</v>
      </c>
      <c r="L33" t="s">
        <v>21</v>
      </c>
      <c r="M33">
        <f>Table1[[#This Row],[Price]]*Table1[[#This Row],[Quantity]]</f>
        <v>4309.4400000000005</v>
      </c>
    </row>
    <row r="34" spans="2:13" x14ac:dyDescent="0.3">
      <c r="B34" s="3">
        <v>10485</v>
      </c>
      <c r="C34" s="4">
        <v>44879</v>
      </c>
      <c r="D34" t="s">
        <v>15</v>
      </c>
      <c r="E34" s="3">
        <v>27.99</v>
      </c>
      <c r="F34" s="19">
        <v>524</v>
      </c>
      <c r="G34" s="3">
        <v>4.32</v>
      </c>
      <c r="H34" t="e" vm="13">
        <v>#VALUE!</v>
      </c>
      <c r="I34" t="e" cm="1" vm="14">
        <f t="array" ref="I34">_FV(H34,"Country/region",TRUE)</f>
        <v>#VALUE!</v>
      </c>
      <c r="J34" t="s">
        <v>14</v>
      </c>
      <c r="K34" t="s">
        <v>16</v>
      </c>
      <c r="L34" t="s">
        <v>21</v>
      </c>
      <c r="M34">
        <f>Table1[[#This Row],[Price]]*Table1[[#This Row],[Quantity]]</f>
        <v>14666.759999999998</v>
      </c>
    </row>
    <row r="35" spans="2:13" x14ac:dyDescent="0.3">
      <c r="B35" s="3">
        <v>10486</v>
      </c>
      <c r="C35" s="4">
        <v>44879</v>
      </c>
      <c r="D35" t="s">
        <v>18</v>
      </c>
      <c r="E35" s="3">
        <v>29.05</v>
      </c>
      <c r="F35" s="19">
        <v>202</v>
      </c>
      <c r="G35" s="3">
        <v>2.85</v>
      </c>
      <c r="H35" t="e" vm="13">
        <v>#VALUE!</v>
      </c>
      <c r="I35" t="e" cm="1" vm="14">
        <f t="array" ref="I35">_FV(H35,"Country/region",TRUE)</f>
        <v>#VALUE!</v>
      </c>
      <c r="J35" t="s">
        <v>14</v>
      </c>
      <c r="K35" t="s">
        <v>16</v>
      </c>
      <c r="L35" t="s">
        <v>21</v>
      </c>
      <c r="M35">
        <f>Table1[[#This Row],[Price]]*Table1[[#This Row],[Quantity]]</f>
        <v>5868.1</v>
      </c>
    </row>
    <row r="36" spans="2:13" x14ac:dyDescent="0.3">
      <c r="B36" s="3">
        <v>10487</v>
      </c>
      <c r="C36" s="4">
        <v>44879</v>
      </c>
      <c r="D36" t="s">
        <v>9</v>
      </c>
      <c r="E36" s="3">
        <v>3.49</v>
      </c>
      <c r="F36" s="19">
        <v>631</v>
      </c>
      <c r="G36" s="3">
        <v>0.88</v>
      </c>
      <c r="H36" t="e" vm="13">
        <v>#VALUE!</v>
      </c>
      <c r="I36" t="e" cm="1" vm="14">
        <f t="array" ref="I36">_FV(H36,"Country/region",TRUE)</f>
        <v>#VALUE!</v>
      </c>
      <c r="J36" t="s">
        <v>14</v>
      </c>
      <c r="K36" t="s">
        <v>16</v>
      </c>
      <c r="L36" t="s">
        <v>21</v>
      </c>
      <c r="M36">
        <f>Table1[[#This Row],[Price]]*Table1[[#This Row],[Quantity]]</f>
        <v>2202.19</v>
      </c>
    </row>
    <row r="37" spans="2:13" x14ac:dyDescent="0.3">
      <c r="B37" s="3">
        <v>10488</v>
      </c>
      <c r="C37" s="4">
        <v>44879</v>
      </c>
      <c r="D37" t="s">
        <v>12</v>
      </c>
      <c r="E37" s="3">
        <v>2.95</v>
      </c>
      <c r="F37" s="19">
        <v>678</v>
      </c>
      <c r="G37" s="3">
        <v>0.47</v>
      </c>
      <c r="H37" t="e" vm="13">
        <v>#VALUE!</v>
      </c>
      <c r="I37" t="e" cm="1" vm="14">
        <f t="array" ref="I37">_FV(H37,"Country/region",TRUE)</f>
        <v>#VALUE!</v>
      </c>
      <c r="J37" t="s">
        <v>14</v>
      </c>
      <c r="K37" t="s">
        <v>16</v>
      </c>
      <c r="L37" t="s">
        <v>21</v>
      </c>
      <c r="M37">
        <f>Table1[[#This Row],[Price]]*Table1[[#This Row],[Quantity]]</f>
        <v>2000.1000000000001</v>
      </c>
    </row>
    <row r="38" spans="2:13" x14ac:dyDescent="0.3">
      <c r="B38" s="3">
        <v>10489</v>
      </c>
      <c r="C38" s="4">
        <v>44879</v>
      </c>
      <c r="D38" t="s">
        <v>13</v>
      </c>
      <c r="E38" s="3">
        <v>4.99</v>
      </c>
      <c r="F38" s="19">
        <v>201</v>
      </c>
      <c r="G38" s="3">
        <v>2.25</v>
      </c>
      <c r="H38" t="e" vm="11">
        <v>#VALUE!</v>
      </c>
      <c r="I38" t="e" cm="1" vm="12">
        <f t="array" ref="I38">_FV(H38,"Country/region",TRUE)</f>
        <v>#VALUE!</v>
      </c>
      <c r="J38" t="s">
        <v>14</v>
      </c>
      <c r="K38" t="s">
        <v>16</v>
      </c>
      <c r="L38" t="s">
        <v>20</v>
      </c>
      <c r="M38">
        <f>Table1[[#This Row],[Price]]*Table1[[#This Row],[Quantity]]</f>
        <v>1002.99</v>
      </c>
    </row>
    <row r="39" spans="2:13" x14ac:dyDescent="0.3">
      <c r="B39" s="3">
        <v>10490</v>
      </c>
      <c r="C39" s="4">
        <v>44880</v>
      </c>
      <c r="D39" t="s">
        <v>15</v>
      </c>
      <c r="E39" s="3">
        <v>12.99</v>
      </c>
      <c r="F39" s="19">
        <v>509</v>
      </c>
      <c r="G39" s="3">
        <v>4.32</v>
      </c>
      <c r="H39" t="e" vm="11">
        <v>#VALUE!</v>
      </c>
      <c r="I39" t="e" cm="1" vm="12">
        <f t="array" ref="I39">_FV(H39,"Country/region",TRUE)</f>
        <v>#VALUE!</v>
      </c>
      <c r="J39" t="s">
        <v>14</v>
      </c>
      <c r="K39" t="s">
        <v>16</v>
      </c>
      <c r="L39" t="s">
        <v>20</v>
      </c>
      <c r="M39">
        <f>Table1[[#This Row],[Price]]*Table1[[#This Row],[Quantity]]</f>
        <v>6611.91</v>
      </c>
    </row>
    <row r="40" spans="2:13" x14ac:dyDescent="0.3">
      <c r="B40" s="3">
        <v>10491</v>
      </c>
      <c r="C40" s="4">
        <v>44880</v>
      </c>
      <c r="D40" t="s">
        <v>18</v>
      </c>
      <c r="E40" s="3">
        <v>9.9499999999999993</v>
      </c>
      <c r="F40" s="19">
        <v>202</v>
      </c>
      <c r="G40" s="3">
        <v>2.85</v>
      </c>
      <c r="H40" t="e" vm="11">
        <v>#VALUE!</v>
      </c>
      <c r="I40" t="e" cm="1" vm="12">
        <f t="array" ref="I40">_FV(H40,"Country/region",TRUE)</f>
        <v>#VALUE!</v>
      </c>
      <c r="J40" t="s">
        <v>14</v>
      </c>
      <c r="K40" t="s">
        <v>16</v>
      </c>
      <c r="L40" t="s">
        <v>20</v>
      </c>
      <c r="M40">
        <f>Table1[[#This Row],[Price]]*Table1[[#This Row],[Quantity]]</f>
        <v>2009.8999999999999</v>
      </c>
    </row>
    <row r="41" spans="2:13" x14ac:dyDescent="0.3">
      <c r="B41" s="3">
        <v>10492</v>
      </c>
      <c r="C41" s="4">
        <v>44880</v>
      </c>
      <c r="D41" t="s">
        <v>9</v>
      </c>
      <c r="E41" s="3">
        <v>3.49</v>
      </c>
      <c r="F41" s="19">
        <v>574</v>
      </c>
      <c r="G41" s="3">
        <v>0.88</v>
      </c>
      <c r="H41" t="e" vm="11">
        <v>#VALUE!</v>
      </c>
      <c r="I41" t="e" cm="1" vm="12">
        <f t="array" ref="I41">_FV(H41,"Country/region",TRUE)</f>
        <v>#VALUE!</v>
      </c>
      <c r="J41" t="s">
        <v>14</v>
      </c>
      <c r="K41" t="s">
        <v>16</v>
      </c>
      <c r="L41" t="s">
        <v>20</v>
      </c>
      <c r="M41">
        <f>Table1[[#This Row],[Price]]*Table1[[#This Row],[Quantity]]</f>
        <v>2003.2600000000002</v>
      </c>
    </row>
    <row r="42" spans="2:13" x14ac:dyDescent="0.3">
      <c r="B42" s="3">
        <v>10493</v>
      </c>
      <c r="C42" s="4">
        <v>44880</v>
      </c>
      <c r="D42" t="s">
        <v>12</v>
      </c>
      <c r="E42" s="3">
        <v>2.95</v>
      </c>
      <c r="F42" s="19">
        <v>678</v>
      </c>
      <c r="G42" s="3">
        <v>0.47</v>
      </c>
      <c r="H42" t="e" vm="11">
        <v>#VALUE!</v>
      </c>
      <c r="I42" t="e" cm="1" vm="12">
        <f t="array" ref="I42">_FV(H42,"Country/region",TRUE)</f>
        <v>#VALUE!</v>
      </c>
      <c r="J42" t="s">
        <v>14</v>
      </c>
      <c r="K42" t="s">
        <v>16</v>
      </c>
      <c r="L42" t="s">
        <v>20</v>
      </c>
      <c r="M42">
        <f>Table1[[#This Row],[Price]]*Table1[[#This Row],[Quantity]]</f>
        <v>2000.1000000000001</v>
      </c>
    </row>
    <row r="43" spans="2:13" x14ac:dyDescent="0.3">
      <c r="B43" s="3">
        <v>10494</v>
      </c>
      <c r="C43" s="4">
        <v>44880</v>
      </c>
      <c r="D43" t="s">
        <v>13</v>
      </c>
      <c r="E43" s="3">
        <v>4.99</v>
      </c>
      <c r="F43" s="19">
        <v>201</v>
      </c>
      <c r="G43" s="3">
        <v>2.25</v>
      </c>
      <c r="H43" t="e" vm="11">
        <v>#VALUE!</v>
      </c>
      <c r="I43" t="e" cm="1" vm="12">
        <f t="array" ref="I43">_FV(H43,"Country/region",TRUE)</f>
        <v>#VALUE!</v>
      </c>
      <c r="J43" t="s">
        <v>14</v>
      </c>
      <c r="K43" t="s">
        <v>16</v>
      </c>
      <c r="L43" t="s">
        <v>20</v>
      </c>
      <c r="M43">
        <f>Table1[[#This Row],[Price]]*Table1[[#This Row],[Quantity]]</f>
        <v>1002.99</v>
      </c>
    </row>
    <row r="44" spans="2:13" x14ac:dyDescent="0.3">
      <c r="B44" s="3">
        <v>10495</v>
      </c>
      <c r="C44" s="4">
        <v>44881</v>
      </c>
      <c r="D44" t="s">
        <v>15</v>
      </c>
      <c r="E44" s="3">
        <v>12.99</v>
      </c>
      <c r="F44" s="19">
        <v>509</v>
      </c>
      <c r="G44" s="3">
        <v>4.32</v>
      </c>
      <c r="H44" t="e" vm="11">
        <v>#VALUE!</v>
      </c>
      <c r="I44" t="e" cm="1" vm="12">
        <f t="array" ref="I44">_FV(H44,"Country/region",TRUE)</f>
        <v>#VALUE!</v>
      </c>
      <c r="J44" t="s">
        <v>14</v>
      </c>
      <c r="K44" t="s">
        <v>16</v>
      </c>
      <c r="L44" t="s">
        <v>20</v>
      </c>
      <c r="M44">
        <f>Table1[[#This Row],[Price]]*Table1[[#This Row],[Quantity]]</f>
        <v>6611.91</v>
      </c>
    </row>
    <row r="45" spans="2:13" x14ac:dyDescent="0.3">
      <c r="B45" s="3">
        <v>10496</v>
      </c>
      <c r="C45" s="4">
        <v>44881</v>
      </c>
      <c r="D45" t="s">
        <v>18</v>
      </c>
      <c r="E45" s="3">
        <v>9.9499999999999993</v>
      </c>
      <c r="F45" s="19">
        <v>202</v>
      </c>
      <c r="G45" s="3">
        <v>2.85</v>
      </c>
      <c r="H45" t="e" vm="11">
        <v>#VALUE!</v>
      </c>
      <c r="I45" t="e" cm="1" vm="12">
        <f t="array" ref="I45">_FV(H45,"Country/region",TRUE)</f>
        <v>#VALUE!</v>
      </c>
      <c r="J45" t="s">
        <v>14</v>
      </c>
      <c r="K45" t="s">
        <v>16</v>
      </c>
      <c r="L45" t="s">
        <v>20</v>
      </c>
      <c r="M45">
        <f>Table1[[#This Row],[Price]]*Table1[[#This Row],[Quantity]]</f>
        <v>2009.8999999999999</v>
      </c>
    </row>
    <row r="46" spans="2:13" x14ac:dyDescent="0.3">
      <c r="B46" s="3">
        <v>10497</v>
      </c>
      <c r="C46" s="4">
        <v>44881</v>
      </c>
      <c r="D46" t="s">
        <v>9</v>
      </c>
      <c r="E46" s="3">
        <v>3.49</v>
      </c>
      <c r="F46" s="19">
        <v>574</v>
      </c>
      <c r="G46" s="3">
        <v>0.88</v>
      </c>
      <c r="H46" t="e" vm="11">
        <v>#VALUE!</v>
      </c>
      <c r="I46" t="e" cm="1" vm="12">
        <f t="array" ref="I46">_FV(H46,"Country/region",TRUE)</f>
        <v>#VALUE!</v>
      </c>
      <c r="J46" t="s">
        <v>14</v>
      </c>
      <c r="K46" t="s">
        <v>16</v>
      </c>
      <c r="L46" t="s">
        <v>20</v>
      </c>
      <c r="M46">
        <f>Table1[[#This Row],[Price]]*Table1[[#This Row],[Quantity]]</f>
        <v>2003.2600000000002</v>
      </c>
    </row>
    <row r="47" spans="2:13" x14ac:dyDescent="0.3">
      <c r="B47" s="3">
        <v>10498</v>
      </c>
      <c r="C47" s="4">
        <v>44881</v>
      </c>
      <c r="D47" t="s">
        <v>12</v>
      </c>
      <c r="E47" s="3">
        <v>2.95</v>
      </c>
      <c r="F47" s="19">
        <v>678</v>
      </c>
      <c r="G47" s="3">
        <v>0.47</v>
      </c>
      <c r="H47" t="e" vm="11">
        <v>#VALUE!</v>
      </c>
      <c r="I47" t="e" cm="1" vm="12">
        <f t="array" ref="I47">_FV(H47,"Country/region",TRUE)</f>
        <v>#VALUE!</v>
      </c>
      <c r="J47" t="s">
        <v>22</v>
      </c>
      <c r="K47" t="s">
        <v>16</v>
      </c>
      <c r="L47" t="s">
        <v>20</v>
      </c>
      <c r="M47">
        <f>Table1[[#This Row],[Price]]*Table1[[#This Row],[Quantity]]</f>
        <v>2000.1000000000001</v>
      </c>
    </row>
    <row r="48" spans="2:13" x14ac:dyDescent="0.3">
      <c r="B48" s="3">
        <v>10499</v>
      </c>
      <c r="C48" s="4">
        <v>44881</v>
      </c>
      <c r="D48" t="s">
        <v>13</v>
      </c>
      <c r="E48" s="3">
        <v>4.99</v>
      </c>
      <c r="F48" s="19">
        <v>201</v>
      </c>
      <c r="G48" s="3">
        <v>2.25</v>
      </c>
      <c r="H48" t="e" vm="11">
        <v>#VALUE!</v>
      </c>
      <c r="I48" t="e" cm="1" vm="12">
        <f t="array" ref="I48">_FV(H48,"Country/region",TRUE)</f>
        <v>#VALUE!</v>
      </c>
      <c r="J48" t="s">
        <v>22</v>
      </c>
      <c r="K48" t="s">
        <v>16</v>
      </c>
      <c r="L48" t="s">
        <v>20</v>
      </c>
      <c r="M48">
        <f>Table1[[#This Row],[Price]]*Table1[[#This Row],[Quantity]]</f>
        <v>1002.99</v>
      </c>
    </row>
    <row r="49" spans="2:13" x14ac:dyDescent="0.3">
      <c r="B49" s="3">
        <v>10500</v>
      </c>
      <c r="C49" s="4">
        <v>44882</v>
      </c>
      <c r="D49" t="s">
        <v>15</v>
      </c>
      <c r="E49" s="3">
        <v>12.99</v>
      </c>
      <c r="F49" s="19">
        <v>524</v>
      </c>
      <c r="G49" s="3">
        <v>4.32</v>
      </c>
      <c r="H49" t="e" vm="11">
        <v>#VALUE!</v>
      </c>
      <c r="I49" t="e" cm="1" vm="12">
        <f t="array" ref="I49">_FV(H49,"Country/region",TRUE)</f>
        <v>#VALUE!</v>
      </c>
      <c r="J49" t="s">
        <v>22</v>
      </c>
      <c r="K49" t="s">
        <v>16</v>
      </c>
      <c r="L49" t="s">
        <v>20</v>
      </c>
      <c r="M49">
        <f>Table1[[#This Row],[Price]]*Table1[[#This Row],[Quantity]]</f>
        <v>6806.76</v>
      </c>
    </row>
    <row r="50" spans="2:13" x14ac:dyDescent="0.3">
      <c r="B50" s="3">
        <v>10501</v>
      </c>
      <c r="C50" s="4">
        <v>44882</v>
      </c>
      <c r="D50" t="s">
        <v>18</v>
      </c>
      <c r="E50" s="3">
        <v>9.9499999999999993</v>
      </c>
      <c r="F50" s="19">
        <v>202</v>
      </c>
      <c r="G50" s="3">
        <v>2.85</v>
      </c>
      <c r="H50" t="e" vm="11">
        <v>#VALUE!</v>
      </c>
      <c r="I50" t="e" cm="1" vm="12">
        <f t="array" ref="I50">_FV(H50,"Country/region",TRUE)</f>
        <v>#VALUE!</v>
      </c>
      <c r="J50" t="s">
        <v>22</v>
      </c>
      <c r="K50" t="s">
        <v>16</v>
      </c>
      <c r="L50" t="s">
        <v>20</v>
      </c>
      <c r="M50">
        <f>Table1[[#This Row],[Price]]*Table1[[#This Row],[Quantity]]</f>
        <v>2009.8999999999999</v>
      </c>
    </row>
    <row r="51" spans="2:13" x14ac:dyDescent="0.3">
      <c r="B51" s="3">
        <v>10502</v>
      </c>
      <c r="C51" s="4">
        <v>44882</v>
      </c>
      <c r="D51" t="s">
        <v>9</v>
      </c>
      <c r="E51" s="3">
        <v>3.49</v>
      </c>
      <c r="F51" s="19">
        <v>631</v>
      </c>
      <c r="G51" s="3">
        <v>0.88</v>
      </c>
      <c r="H51" t="e" vm="11">
        <v>#VALUE!</v>
      </c>
      <c r="I51" t="e" cm="1" vm="12">
        <f t="array" ref="I51">_FV(H51,"Country/region",TRUE)</f>
        <v>#VALUE!</v>
      </c>
      <c r="J51" t="s">
        <v>22</v>
      </c>
      <c r="K51" t="s">
        <v>16</v>
      </c>
      <c r="L51" t="s">
        <v>20</v>
      </c>
      <c r="M51">
        <f>Table1[[#This Row],[Price]]*Table1[[#This Row],[Quantity]]</f>
        <v>2202.19</v>
      </c>
    </row>
    <row r="52" spans="2:13" x14ac:dyDescent="0.3">
      <c r="B52" s="3">
        <v>10503</v>
      </c>
      <c r="C52" s="4">
        <v>44882</v>
      </c>
      <c r="D52" t="s">
        <v>12</v>
      </c>
      <c r="E52" s="3">
        <v>2.95</v>
      </c>
      <c r="F52" s="19">
        <v>678</v>
      </c>
      <c r="G52" s="3">
        <v>0.47</v>
      </c>
      <c r="H52" t="e" vm="11">
        <v>#VALUE!</v>
      </c>
      <c r="I52" t="e" cm="1" vm="12">
        <f t="array" ref="I52">_FV(H52,"Country/region",TRUE)</f>
        <v>#VALUE!</v>
      </c>
      <c r="J52" t="s">
        <v>22</v>
      </c>
      <c r="K52" t="s">
        <v>16</v>
      </c>
      <c r="L52" t="s">
        <v>20</v>
      </c>
      <c r="M52">
        <f>Table1[[#This Row],[Price]]*Table1[[#This Row],[Quantity]]</f>
        <v>2000.1000000000001</v>
      </c>
    </row>
    <row r="53" spans="2:13" x14ac:dyDescent="0.3">
      <c r="B53" s="3">
        <v>10504</v>
      </c>
      <c r="C53" s="4">
        <v>44882</v>
      </c>
      <c r="D53" t="s">
        <v>13</v>
      </c>
      <c r="E53" s="3">
        <v>4.99</v>
      </c>
      <c r="F53" s="19">
        <v>201</v>
      </c>
      <c r="G53" s="3">
        <v>2.25</v>
      </c>
      <c r="H53" t="e" vm="11">
        <v>#VALUE!</v>
      </c>
      <c r="I53" t="e" cm="1" vm="12">
        <f t="array" ref="I53">_FV(H53,"Country/region",TRUE)</f>
        <v>#VALUE!</v>
      </c>
      <c r="J53" t="s">
        <v>22</v>
      </c>
      <c r="K53" t="s">
        <v>16</v>
      </c>
      <c r="L53" t="s">
        <v>20</v>
      </c>
      <c r="M53">
        <f>Table1[[#This Row],[Price]]*Table1[[#This Row],[Quantity]]</f>
        <v>1002.99</v>
      </c>
    </row>
    <row r="54" spans="2:13" x14ac:dyDescent="0.3">
      <c r="B54" s="3">
        <v>10505</v>
      </c>
      <c r="C54" s="4">
        <v>44883</v>
      </c>
      <c r="D54" t="s">
        <v>15</v>
      </c>
      <c r="E54" s="3">
        <v>12.99</v>
      </c>
      <c r="F54" s="19">
        <v>539</v>
      </c>
      <c r="G54" s="3">
        <v>4.32</v>
      </c>
      <c r="H54" t="e" vm="11">
        <v>#VALUE!</v>
      </c>
      <c r="I54" t="e" cm="1" vm="12">
        <f t="array" ref="I54">_FV(H54,"Country/region",TRUE)</f>
        <v>#VALUE!</v>
      </c>
      <c r="J54" t="s">
        <v>22</v>
      </c>
      <c r="K54" t="s">
        <v>16</v>
      </c>
      <c r="L54" t="s">
        <v>20</v>
      </c>
      <c r="M54">
        <f>Table1[[#This Row],[Price]]*Table1[[#This Row],[Quantity]]</f>
        <v>7001.61</v>
      </c>
    </row>
    <row r="55" spans="2:13" x14ac:dyDescent="0.3">
      <c r="B55" s="3">
        <v>10506</v>
      </c>
      <c r="C55" s="4">
        <v>44883</v>
      </c>
      <c r="D55" t="s">
        <v>18</v>
      </c>
      <c r="E55" s="3">
        <v>9.9499999999999993</v>
      </c>
      <c r="F55" s="19">
        <v>202</v>
      </c>
      <c r="G55" s="3">
        <v>2.85</v>
      </c>
      <c r="H55" t="e" vm="11">
        <v>#VALUE!</v>
      </c>
      <c r="I55" t="e" cm="1" vm="12">
        <f t="array" ref="I55">_FV(H55,"Country/region",TRUE)</f>
        <v>#VALUE!</v>
      </c>
      <c r="J55" t="s">
        <v>22</v>
      </c>
      <c r="K55" t="s">
        <v>16</v>
      </c>
      <c r="L55" t="s">
        <v>20</v>
      </c>
      <c r="M55">
        <f>Table1[[#This Row],[Price]]*Table1[[#This Row],[Quantity]]</f>
        <v>2009.8999999999999</v>
      </c>
    </row>
    <row r="56" spans="2:13" x14ac:dyDescent="0.3">
      <c r="B56" s="3">
        <v>10507</v>
      </c>
      <c r="C56" s="4">
        <v>44883</v>
      </c>
      <c r="D56" t="s">
        <v>9</v>
      </c>
      <c r="E56" s="3">
        <v>3.49</v>
      </c>
      <c r="F56" s="19">
        <v>688</v>
      </c>
      <c r="G56" s="3">
        <v>0.88</v>
      </c>
      <c r="H56" t="e" vm="11">
        <v>#VALUE!</v>
      </c>
      <c r="I56" t="e" cm="1" vm="12">
        <f t="array" ref="I56">_FV(H56,"Country/region",TRUE)</f>
        <v>#VALUE!</v>
      </c>
      <c r="J56" t="s">
        <v>22</v>
      </c>
      <c r="K56" t="s">
        <v>16</v>
      </c>
      <c r="L56" t="s">
        <v>20</v>
      </c>
      <c r="M56">
        <f>Table1[[#This Row],[Price]]*Table1[[#This Row],[Quantity]]</f>
        <v>2401.1200000000003</v>
      </c>
    </row>
    <row r="57" spans="2:13" x14ac:dyDescent="0.3">
      <c r="B57" s="3">
        <v>10508</v>
      </c>
      <c r="C57" s="4">
        <v>44883</v>
      </c>
      <c r="D57" t="s">
        <v>12</v>
      </c>
      <c r="E57" s="3">
        <v>2.95</v>
      </c>
      <c r="F57" s="19">
        <v>678</v>
      </c>
      <c r="G57" s="3">
        <v>0.47</v>
      </c>
      <c r="H57" t="e" vm="11">
        <v>#VALUE!</v>
      </c>
      <c r="I57" t="e" cm="1" vm="12">
        <f t="array" ref="I57">_FV(H57,"Country/region",TRUE)</f>
        <v>#VALUE!</v>
      </c>
      <c r="J57" t="s">
        <v>22</v>
      </c>
      <c r="K57" t="s">
        <v>16</v>
      </c>
      <c r="L57" t="s">
        <v>20</v>
      </c>
      <c r="M57">
        <f>Table1[[#This Row],[Price]]*Table1[[#This Row],[Quantity]]</f>
        <v>2000.1000000000001</v>
      </c>
    </row>
    <row r="58" spans="2:13" x14ac:dyDescent="0.3">
      <c r="B58" s="3">
        <v>10509</v>
      </c>
      <c r="C58" s="4">
        <v>44883</v>
      </c>
      <c r="D58" t="s">
        <v>13</v>
      </c>
      <c r="E58" s="3">
        <v>4.99</v>
      </c>
      <c r="F58" s="19">
        <v>201</v>
      </c>
      <c r="G58" s="3">
        <v>2.25</v>
      </c>
      <c r="H58" t="e" vm="11">
        <v>#VALUE!</v>
      </c>
      <c r="I58" t="e" cm="1" vm="12">
        <f t="array" ref="I58">_FV(H58,"Country/region",TRUE)</f>
        <v>#VALUE!</v>
      </c>
      <c r="J58" t="s">
        <v>22</v>
      </c>
      <c r="K58" t="s">
        <v>16</v>
      </c>
      <c r="L58" t="s">
        <v>20</v>
      </c>
      <c r="M58">
        <f>Table1[[#This Row],[Price]]*Table1[[#This Row],[Quantity]]</f>
        <v>1002.99</v>
      </c>
    </row>
    <row r="59" spans="2:13" x14ac:dyDescent="0.3">
      <c r="B59" s="3">
        <v>10510</v>
      </c>
      <c r="C59" s="4">
        <v>44884</v>
      </c>
      <c r="D59" t="s">
        <v>15</v>
      </c>
      <c r="E59" s="3">
        <v>12.99</v>
      </c>
      <c r="F59" s="19">
        <v>509</v>
      </c>
      <c r="G59" s="3">
        <v>4.32</v>
      </c>
      <c r="H59" t="e" vm="11">
        <v>#VALUE!</v>
      </c>
      <c r="I59" t="e" cm="1" vm="12">
        <f t="array" ref="I59">_FV(H59,"Country/region",TRUE)</f>
        <v>#VALUE!</v>
      </c>
      <c r="J59" t="s">
        <v>22</v>
      </c>
      <c r="K59" t="s">
        <v>16</v>
      </c>
      <c r="L59" t="s">
        <v>20</v>
      </c>
      <c r="M59">
        <f>Table1[[#This Row],[Price]]*Table1[[#This Row],[Quantity]]</f>
        <v>6611.91</v>
      </c>
    </row>
    <row r="60" spans="2:13" x14ac:dyDescent="0.3">
      <c r="B60" s="3">
        <v>10511</v>
      </c>
      <c r="C60" s="4">
        <v>44884</v>
      </c>
      <c r="D60" t="s">
        <v>18</v>
      </c>
      <c r="E60" s="3">
        <v>9.9499999999999993</v>
      </c>
      <c r="F60" s="19">
        <v>202</v>
      </c>
      <c r="G60" s="3">
        <v>2.85</v>
      </c>
      <c r="H60" t="e" vm="13">
        <v>#VALUE!</v>
      </c>
      <c r="I60" t="e" cm="1" vm="14">
        <f t="array" ref="I60">_FV(H60,"Country/region",TRUE)</f>
        <v>#VALUE!</v>
      </c>
      <c r="J60" t="s">
        <v>22</v>
      </c>
      <c r="K60" t="s">
        <v>16</v>
      </c>
      <c r="L60" t="s">
        <v>21</v>
      </c>
      <c r="M60">
        <f>Table1[[#This Row],[Price]]*Table1[[#This Row],[Quantity]]</f>
        <v>2009.8999999999999</v>
      </c>
    </row>
    <row r="61" spans="2:13" x14ac:dyDescent="0.3">
      <c r="B61" s="3">
        <v>10512</v>
      </c>
      <c r="C61" s="4">
        <v>44884</v>
      </c>
      <c r="D61" t="s">
        <v>9</v>
      </c>
      <c r="E61" s="3">
        <v>3.49</v>
      </c>
      <c r="F61" s="19">
        <v>688</v>
      </c>
      <c r="G61" s="3">
        <v>0.88</v>
      </c>
      <c r="H61" t="e" vm="13">
        <v>#VALUE!</v>
      </c>
      <c r="I61" t="e" cm="1" vm="14">
        <f t="array" ref="I61">_FV(H61,"Country/region",TRUE)</f>
        <v>#VALUE!</v>
      </c>
      <c r="J61" t="s">
        <v>22</v>
      </c>
      <c r="K61" t="s">
        <v>16</v>
      </c>
      <c r="L61" t="s">
        <v>21</v>
      </c>
      <c r="M61">
        <f>Table1[[#This Row],[Price]]*Table1[[#This Row],[Quantity]]</f>
        <v>2401.1200000000003</v>
      </c>
    </row>
    <row r="62" spans="2:13" x14ac:dyDescent="0.3">
      <c r="B62" s="3">
        <v>10513</v>
      </c>
      <c r="C62" s="4">
        <v>44884</v>
      </c>
      <c r="D62" t="s">
        <v>12</v>
      </c>
      <c r="E62" s="3">
        <v>2.95</v>
      </c>
      <c r="F62" s="19">
        <v>678</v>
      </c>
      <c r="G62" s="3">
        <v>0.47</v>
      </c>
      <c r="H62" t="e" vm="13">
        <v>#VALUE!</v>
      </c>
      <c r="I62" t="e" cm="1" vm="14">
        <f t="array" ref="I62">_FV(H62,"Country/region",TRUE)</f>
        <v>#VALUE!</v>
      </c>
      <c r="J62" t="s">
        <v>22</v>
      </c>
      <c r="K62" t="s">
        <v>23</v>
      </c>
      <c r="L62" t="s">
        <v>21</v>
      </c>
      <c r="M62">
        <f>Table1[[#This Row],[Price]]*Table1[[#This Row],[Quantity]]</f>
        <v>2000.1000000000001</v>
      </c>
    </row>
    <row r="63" spans="2:13" x14ac:dyDescent="0.3">
      <c r="B63" s="3">
        <v>10514</v>
      </c>
      <c r="C63" s="4">
        <v>44884</v>
      </c>
      <c r="D63" t="s">
        <v>13</v>
      </c>
      <c r="E63" s="3">
        <v>4.99</v>
      </c>
      <c r="F63" s="19">
        <v>201</v>
      </c>
      <c r="G63" s="3">
        <v>2.25</v>
      </c>
      <c r="H63" t="e" vm="13">
        <v>#VALUE!</v>
      </c>
      <c r="I63" t="e" cm="1" vm="14">
        <f t="array" ref="I63">_FV(H63,"Country/region",TRUE)</f>
        <v>#VALUE!</v>
      </c>
      <c r="J63" t="s">
        <v>22</v>
      </c>
      <c r="K63" t="s">
        <v>23</v>
      </c>
      <c r="L63" t="s">
        <v>21</v>
      </c>
      <c r="M63">
        <f>Table1[[#This Row],[Price]]*Table1[[#This Row],[Quantity]]</f>
        <v>1002.99</v>
      </c>
    </row>
    <row r="64" spans="2:13" x14ac:dyDescent="0.3">
      <c r="B64" s="3">
        <v>10515</v>
      </c>
      <c r="C64" s="4">
        <v>44885</v>
      </c>
      <c r="D64" t="s">
        <v>15</v>
      </c>
      <c r="E64" s="3">
        <v>12.99</v>
      </c>
      <c r="F64" s="19">
        <v>478</v>
      </c>
      <c r="G64" s="3">
        <v>4.32</v>
      </c>
      <c r="H64" t="e" vm="13">
        <v>#VALUE!</v>
      </c>
      <c r="I64" t="e" cm="1" vm="14">
        <f t="array" ref="I64">_FV(H64,"Country/region",TRUE)</f>
        <v>#VALUE!</v>
      </c>
      <c r="J64" t="s">
        <v>22</v>
      </c>
      <c r="K64" t="s">
        <v>23</v>
      </c>
      <c r="L64" t="s">
        <v>21</v>
      </c>
      <c r="M64">
        <f>Table1[[#This Row],[Price]]*Table1[[#This Row],[Quantity]]</f>
        <v>6209.22</v>
      </c>
    </row>
    <row r="65" spans="2:13" x14ac:dyDescent="0.3">
      <c r="B65" s="3">
        <v>10516</v>
      </c>
      <c r="C65" s="4">
        <v>44885</v>
      </c>
      <c r="D65" t="s">
        <v>18</v>
      </c>
      <c r="E65" s="3">
        <v>9.9499999999999993</v>
      </c>
      <c r="F65" s="19">
        <v>202</v>
      </c>
      <c r="G65" s="3">
        <v>2.85</v>
      </c>
      <c r="H65" t="e" vm="13">
        <v>#VALUE!</v>
      </c>
      <c r="I65" t="e" cm="1" vm="14">
        <f t="array" ref="I65">_FV(H65,"Country/region",TRUE)</f>
        <v>#VALUE!</v>
      </c>
      <c r="J65" t="s">
        <v>22</v>
      </c>
      <c r="K65" t="s">
        <v>23</v>
      </c>
      <c r="L65" t="s">
        <v>21</v>
      </c>
      <c r="M65">
        <f>Table1[[#This Row],[Price]]*Table1[[#This Row],[Quantity]]</f>
        <v>2009.8999999999999</v>
      </c>
    </row>
    <row r="66" spans="2:13" x14ac:dyDescent="0.3">
      <c r="B66" s="3">
        <v>10520</v>
      </c>
      <c r="C66" s="4">
        <v>44886</v>
      </c>
      <c r="D66" t="s">
        <v>15</v>
      </c>
      <c r="E66" s="3">
        <v>12.99</v>
      </c>
      <c r="F66" s="19">
        <v>493</v>
      </c>
      <c r="G66" s="3">
        <v>4.32</v>
      </c>
      <c r="H66" t="e" vm="17">
        <v>#VALUE!</v>
      </c>
      <c r="I66" t="e" cm="1" vm="18">
        <f t="array" ref="I66">_FV(H66,"Country/region",TRUE)</f>
        <v>#VALUE!</v>
      </c>
      <c r="J66" t="s">
        <v>22</v>
      </c>
      <c r="K66" t="s">
        <v>23</v>
      </c>
      <c r="L66" t="s">
        <v>19</v>
      </c>
      <c r="M66">
        <f>Table1[[#This Row],[Price]]*Table1[[#This Row],[Quantity]]</f>
        <v>6404.07</v>
      </c>
    </row>
    <row r="67" spans="2:13" x14ac:dyDescent="0.3">
      <c r="B67" s="3">
        <v>10521</v>
      </c>
      <c r="C67" s="4">
        <v>44886</v>
      </c>
      <c r="D67" t="s">
        <v>18</v>
      </c>
      <c r="E67" s="3">
        <v>9.9499999999999993</v>
      </c>
      <c r="F67" s="19">
        <v>202</v>
      </c>
      <c r="G67" s="3">
        <v>2.85</v>
      </c>
      <c r="H67" t="e" vm="17">
        <v>#VALUE!</v>
      </c>
      <c r="I67" t="e" cm="1" vm="18">
        <f t="array" ref="I67">_FV(H67,"Country/region",TRUE)</f>
        <v>#VALUE!</v>
      </c>
      <c r="J67" t="s">
        <v>22</v>
      </c>
      <c r="K67" t="s">
        <v>23</v>
      </c>
      <c r="L67" t="s">
        <v>19</v>
      </c>
      <c r="M67">
        <f>Table1[[#This Row],[Price]]*Table1[[#This Row],[Quantity]]</f>
        <v>2009.8999999999999</v>
      </c>
    </row>
    <row r="68" spans="2:13" x14ac:dyDescent="0.3">
      <c r="B68" s="3">
        <v>10522</v>
      </c>
      <c r="C68" s="4">
        <v>44886</v>
      </c>
      <c r="D68" t="s">
        <v>9</v>
      </c>
      <c r="E68" s="3">
        <v>3.49</v>
      </c>
      <c r="F68" s="19">
        <v>688</v>
      </c>
      <c r="G68" s="3">
        <v>0.88</v>
      </c>
      <c r="H68" t="e" vm="17">
        <v>#VALUE!</v>
      </c>
      <c r="I68" t="e" cm="1" vm="18">
        <f t="array" ref="I68">_FV(H68,"Country/region",TRUE)</f>
        <v>#VALUE!</v>
      </c>
      <c r="J68" t="s">
        <v>22</v>
      </c>
      <c r="K68" t="s">
        <v>23</v>
      </c>
      <c r="L68" t="s">
        <v>19</v>
      </c>
      <c r="M68">
        <f>Table1[[#This Row],[Price]]*Table1[[#This Row],[Quantity]]</f>
        <v>2401.1200000000003</v>
      </c>
    </row>
    <row r="69" spans="2:13" x14ac:dyDescent="0.3">
      <c r="B69" s="3">
        <v>10523</v>
      </c>
      <c r="C69" s="4">
        <v>44886</v>
      </c>
      <c r="D69" t="s">
        <v>12</v>
      </c>
      <c r="E69" s="3">
        <v>2.95</v>
      </c>
      <c r="F69" s="19">
        <v>746</v>
      </c>
      <c r="G69" s="3">
        <v>0.47</v>
      </c>
      <c r="H69" t="e" vm="17">
        <v>#VALUE!</v>
      </c>
      <c r="I69" t="e" cm="1" vm="18">
        <f t="array" ref="I69">_FV(H69,"Country/region",TRUE)</f>
        <v>#VALUE!</v>
      </c>
      <c r="J69" t="s">
        <v>22</v>
      </c>
      <c r="K69" t="s">
        <v>23</v>
      </c>
      <c r="L69" t="s">
        <v>19</v>
      </c>
      <c r="M69">
        <f>Table1[[#This Row],[Price]]*Table1[[#This Row],[Quantity]]</f>
        <v>2200.7000000000003</v>
      </c>
    </row>
    <row r="70" spans="2:13" x14ac:dyDescent="0.3">
      <c r="B70" s="3">
        <v>10524</v>
      </c>
      <c r="C70" s="4">
        <v>44886</v>
      </c>
      <c r="D70" t="s">
        <v>13</v>
      </c>
      <c r="E70" s="3">
        <v>4.99</v>
      </c>
      <c r="F70" s="19">
        <v>201</v>
      </c>
      <c r="G70" s="3">
        <v>2.25</v>
      </c>
      <c r="H70" t="e" vm="17">
        <v>#VALUE!</v>
      </c>
      <c r="I70" t="e" cm="1" vm="18">
        <f t="array" ref="I70">_FV(H70,"Country/region",TRUE)</f>
        <v>#VALUE!</v>
      </c>
      <c r="J70" t="s">
        <v>22</v>
      </c>
      <c r="K70" t="s">
        <v>23</v>
      </c>
      <c r="L70" t="s">
        <v>19</v>
      </c>
      <c r="M70">
        <f>Table1[[#This Row],[Price]]*Table1[[#This Row],[Quantity]]</f>
        <v>1002.99</v>
      </c>
    </row>
    <row r="71" spans="2:13" x14ac:dyDescent="0.3">
      <c r="B71" s="3">
        <v>10525</v>
      </c>
      <c r="C71" s="4">
        <v>44887</v>
      </c>
      <c r="D71" t="s">
        <v>15</v>
      </c>
      <c r="E71" s="3">
        <v>12.99</v>
      </c>
      <c r="F71" s="19">
        <v>462</v>
      </c>
      <c r="G71" s="3">
        <v>4.32</v>
      </c>
      <c r="H71" t="e" vm="17">
        <v>#VALUE!</v>
      </c>
      <c r="I71" t="e" cm="1" vm="18">
        <f t="array" ref="I71">_FV(H71,"Country/region",TRUE)</f>
        <v>#VALUE!</v>
      </c>
      <c r="J71" t="s">
        <v>22</v>
      </c>
      <c r="K71" t="s">
        <v>23</v>
      </c>
      <c r="L71" t="s">
        <v>19</v>
      </c>
      <c r="M71">
        <f>Table1[[#This Row],[Price]]*Table1[[#This Row],[Quantity]]</f>
        <v>6001.38</v>
      </c>
    </row>
    <row r="72" spans="2:13" x14ac:dyDescent="0.3">
      <c r="B72" s="3">
        <v>10526</v>
      </c>
      <c r="C72" s="4">
        <v>44887</v>
      </c>
      <c r="D72" t="s">
        <v>18</v>
      </c>
      <c r="E72" s="3">
        <v>9.9499999999999993</v>
      </c>
      <c r="F72" s="19">
        <v>202</v>
      </c>
      <c r="G72" s="3">
        <v>2.85</v>
      </c>
      <c r="H72" t="e" vm="17">
        <v>#VALUE!</v>
      </c>
      <c r="I72" t="e" cm="1" vm="18">
        <f t="array" ref="I72">_FV(H72,"Country/region",TRUE)</f>
        <v>#VALUE!</v>
      </c>
      <c r="J72" t="s">
        <v>22</v>
      </c>
      <c r="K72" t="s">
        <v>23</v>
      </c>
      <c r="L72" t="s">
        <v>19</v>
      </c>
      <c r="M72">
        <f>Table1[[#This Row],[Price]]*Table1[[#This Row],[Quantity]]</f>
        <v>2009.8999999999999</v>
      </c>
    </row>
    <row r="73" spans="2:13" x14ac:dyDescent="0.3">
      <c r="B73" s="3">
        <v>10527</v>
      </c>
      <c r="C73" s="4">
        <v>44887</v>
      </c>
      <c r="D73" t="s">
        <v>9</v>
      </c>
      <c r="E73" s="3">
        <v>3.49</v>
      </c>
      <c r="F73" s="19">
        <v>688</v>
      </c>
      <c r="G73" s="3">
        <v>0.88</v>
      </c>
      <c r="H73" t="e" vm="17">
        <v>#VALUE!</v>
      </c>
      <c r="I73" t="e" cm="1" vm="18">
        <f t="array" ref="I73">_FV(H73,"Country/region",TRUE)</f>
        <v>#VALUE!</v>
      </c>
      <c r="J73" t="s">
        <v>22</v>
      </c>
      <c r="K73" t="s">
        <v>23</v>
      </c>
      <c r="L73" t="s">
        <v>19</v>
      </c>
      <c r="M73">
        <f>Table1[[#This Row],[Price]]*Table1[[#This Row],[Quantity]]</f>
        <v>2401.1200000000003</v>
      </c>
    </row>
    <row r="74" spans="2:13" x14ac:dyDescent="0.3">
      <c r="B74" s="3">
        <v>10528</v>
      </c>
      <c r="C74" s="4">
        <v>44887</v>
      </c>
      <c r="D74" t="s">
        <v>12</v>
      </c>
      <c r="E74" s="3">
        <v>2.95</v>
      </c>
      <c r="F74" s="19">
        <v>746</v>
      </c>
      <c r="G74" s="3">
        <v>0.47</v>
      </c>
      <c r="H74" t="e" vm="17">
        <v>#VALUE!</v>
      </c>
      <c r="I74" t="e" cm="1" vm="18">
        <f t="array" ref="I74">_FV(H74,"Country/region",TRUE)</f>
        <v>#VALUE!</v>
      </c>
      <c r="J74" t="s">
        <v>22</v>
      </c>
      <c r="K74" t="s">
        <v>23</v>
      </c>
      <c r="L74" t="s">
        <v>19</v>
      </c>
      <c r="M74">
        <f>Table1[[#This Row],[Price]]*Table1[[#This Row],[Quantity]]</f>
        <v>2200.7000000000003</v>
      </c>
    </row>
    <row r="75" spans="2:13" x14ac:dyDescent="0.3">
      <c r="B75" s="3">
        <v>10529</v>
      </c>
      <c r="C75" s="4">
        <v>44887</v>
      </c>
      <c r="D75" t="s">
        <v>13</v>
      </c>
      <c r="E75" s="3">
        <v>4.99</v>
      </c>
      <c r="F75" s="19">
        <v>201</v>
      </c>
      <c r="G75" s="3">
        <v>2.25</v>
      </c>
      <c r="H75" t="e" vm="17">
        <v>#VALUE!</v>
      </c>
      <c r="I75" t="e" cm="1" vm="18">
        <f t="array" ref="I75">_FV(H75,"Country/region",TRUE)</f>
        <v>#VALUE!</v>
      </c>
      <c r="J75" t="s">
        <v>22</v>
      </c>
      <c r="K75" t="s">
        <v>23</v>
      </c>
      <c r="L75" t="s">
        <v>19</v>
      </c>
      <c r="M75">
        <f>Table1[[#This Row],[Price]]*Table1[[#This Row],[Quantity]]</f>
        <v>1002.99</v>
      </c>
    </row>
    <row r="76" spans="2:13" x14ac:dyDescent="0.3">
      <c r="B76" s="3">
        <v>10530</v>
      </c>
      <c r="C76" s="4">
        <v>44888</v>
      </c>
      <c r="D76" t="s">
        <v>15</v>
      </c>
      <c r="E76" s="3">
        <v>12.99</v>
      </c>
      <c r="F76" s="19">
        <v>478</v>
      </c>
      <c r="G76" s="3">
        <v>4.32</v>
      </c>
      <c r="H76" t="e" vm="17">
        <v>#VALUE!</v>
      </c>
      <c r="I76" t="e" cm="1" vm="18">
        <f t="array" ref="I76">_FV(H76,"Country/region",TRUE)</f>
        <v>#VALUE!</v>
      </c>
      <c r="J76" t="s">
        <v>22</v>
      </c>
      <c r="K76" t="s">
        <v>23</v>
      </c>
      <c r="L76" t="s">
        <v>19</v>
      </c>
      <c r="M76">
        <f>Table1[[#This Row],[Price]]*Table1[[#This Row],[Quantity]]</f>
        <v>6209.22</v>
      </c>
    </row>
    <row r="77" spans="2:13" x14ac:dyDescent="0.3">
      <c r="B77" s="3">
        <v>10531</v>
      </c>
      <c r="C77" s="4">
        <v>44888</v>
      </c>
      <c r="D77" t="s">
        <v>18</v>
      </c>
      <c r="E77" s="3">
        <v>9.9499999999999993</v>
      </c>
      <c r="F77" s="19">
        <v>202</v>
      </c>
      <c r="G77" s="3">
        <v>2.85</v>
      </c>
      <c r="H77" t="e" vm="17">
        <v>#VALUE!</v>
      </c>
      <c r="I77" t="e" cm="1" vm="18">
        <f t="array" ref="I77">_FV(H77,"Country/region",TRUE)</f>
        <v>#VALUE!</v>
      </c>
      <c r="J77" t="s">
        <v>22</v>
      </c>
      <c r="K77" t="s">
        <v>23</v>
      </c>
      <c r="L77" t="s">
        <v>19</v>
      </c>
      <c r="M77">
        <f>Table1[[#This Row],[Price]]*Table1[[#This Row],[Quantity]]</f>
        <v>2009.8999999999999</v>
      </c>
    </row>
    <row r="78" spans="2:13" x14ac:dyDescent="0.3">
      <c r="B78" s="3">
        <v>10532</v>
      </c>
      <c r="C78" s="4">
        <v>44888</v>
      </c>
      <c r="D78" t="s">
        <v>9</v>
      </c>
      <c r="E78" s="3">
        <v>3.49</v>
      </c>
      <c r="F78" s="19">
        <v>688</v>
      </c>
      <c r="G78" s="3">
        <v>0.88</v>
      </c>
      <c r="H78" t="e" vm="13">
        <v>#VALUE!</v>
      </c>
      <c r="I78" t="e" cm="1" vm="14">
        <f t="array" ref="I78">_FV(H78,"Country/region",TRUE)</f>
        <v>#VALUE!</v>
      </c>
      <c r="J78" t="s">
        <v>22</v>
      </c>
      <c r="K78" t="s">
        <v>23</v>
      </c>
      <c r="L78" t="s">
        <v>21</v>
      </c>
      <c r="M78">
        <f>Table1[[#This Row],[Price]]*Table1[[#This Row],[Quantity]]</f>
        <v>2401.1200000000003</v>
      </c>
    </row>
    <row r="79" spans="2:13" x14ac:dyDescent="0.3">
      <c r="B79" s="3">
        <v>10533</v>
      </c>
      <c r="C79" s="4">
        <v>44888</v>
      </c>
      <c r="D79" t="s">
        <v>12</v>
      </c>
      <c r="E79" s="3">
        <v>2.95</v>
      </c>
      <c r="F79" s="19">
        <v>746</v>
      </c>
      <c r="G79" s="3">
        <v>0.47</v>
      </c>
      <c r="H79" t="e" vm="13">
        <v>#VALUE!</v>
      </c>
      <c r="I79" t="e" cm="1" vm="14">
        <f t="array" ref="I79">_FV(H79,"Country/region",TRUE)</f>
        <v>#VALUE!</v>
      </c>
      <c r="J79" t="s">
        <v>22</v>
      </c>
      <c r="K79" t="s">
        <v>23</v>
      </c>
      <c r="L79" t="s">
        <v>21</v>
      </c>
      <c r="M79">
        <f>Table1[[#This Row],[Price]]*Table1[[#This Row],[Quantity]]</f>
        <v>2200.7000000000003</v>
      </c>
    </row>
    <row r="80" spans="2:13" x14ac:dyDescent="0.3">
      <c r="B80" s="3">
        <v>10534</v>
      </c>
      <c r="C80" s="4">
        <v>44888</v>
      </c>
      <c r="D80" t="s">
        <v>13</v>
      </c>
      <c r="E80" s="3">
        <v>4.99</v>
      </c>
      <c r="F80" s="19">
        <v>201</v>
      </c>
      <c r="G80" s="3">
        <v>2.25</v>
      </c>
      <c r="H80" t="e" vm="11">
        <v>#VALUE!</v>
      </c>
      <c r="I80" t="e" cm="1" vm="12">
        <f t="array" ref="I80">_FV(H80,"Country/region",TRUE)</f>
        <v>#VALUE!</v>
      </c>
      <c r="J80" t="s">
        <v>22</v>
      </c>
      <c r="K80" t="s">
        <v>23</v>
      </c>
      <c r="L80" t="s">
        <v>20</v>
      </c>
      <c r="M80">
        <f>Table1[[#This Row],[Price]]*Table1[[#This Row],[Quantity]]</f>
        <v>1002.99</v>
      </c>
    </row>
    <row r="81" spans="2:13" x14ac:dyDescent="0.3">
      <c r="B81" s="3">
        <v>10535</v>
      </c>
      <c r="C81" s="4">
        <v>44889</v>
      </c>
      <c r="D81" t="s">
        <v>15</v>
      </c>
      <c r="E81" s="3">
        <v>12.99</v>
      </c>
      <c r="F81" s="19">
        <v>478</v>
      </c>
      <c r="G81" s="3">
        <v>4.32</v>
      </c>
      <c r="H81" t="e" vm="11">
        <v>#VALUE!</v>
      </c>
      <c r="I81" t="e" cm="1" vm="12">
        <f t="array" ref="I81">_FV(H81,"Country/region",TRUE)</f>
        <v>#VALUE!</v>
      </c>
      <c r="J81" t="s">
        <v>22</v>
      </c>
      <c r="K81" t="s">
        <v>16</v>
      </c>
      <c r="L81" t="s">
        <v>20</v>
      </c>
      <c r="M81">
        <f>Table1[[#This Row],[Price]]*Table1[[#This Row],[Quantity]]</f>
        <v>6209.22</v>
      </c>
    </row>
    <row r="82" spans="2:13" x14ac:dyDescent="0.3">
      <c r="B82" s="3">
        <v>10536</v>
      </c>
      <c r="C82" s="4">
        <v>44889</v>
      </c>
      <c r="D82" t="s">
        <v>18</v>
      </c>
      <c r="E82" s="3">
        <v>9.9499999999999993</v>
      </c>
      <c r="F82" s="19">
        <v>202</v>
      </c>
      <c r="G82" s="3">
        <v>2.85</v>
      </c>
      <c r="H82" t="e" vm="11">
        <v>#VALUE!</v>
      </c>
      <c r="I82" t="e" cm="1" vm="12">
        <f t="array" ref="I82">_FV(H82,"Country/region",TRUE)</f>
        <v>#VALUE!</v>
      </c>
      <c r="J82" t="s">
        <v>22</v>
      </c>
      <c r="K82" t="s">
        <v>16</v>
      </c>
      <c r="L82" t="s">
        <v>20</v>
      </c>
      <c r="M82">
        <f>Table1[[#This Row],[Price]]*Table1[[#This Row],[Quantity]]</f>
        <v>2009.8999999999999</v>
      </c>
    </row>
    <row r="83" spans="2:13" x14ac:dyDescent="0.3">
      <c r="B83" s="3">
        <v>10537</v>
      </c>
      <c r="C83" s="4">
        <v>44889</v>
      </c>
      <c r="D83" t="s">
        <v>9</v>
      </c>
      <c r="E83" s="3">
        <v>3.49</v>
      </c>
      <c r="F83" s="19">
        <v>631</v>
      </c>
      <c r="G83" s="3">
        <v>0.88</v>
      </c>
      <c r="H83" t="e" vm="11">
        <v>#VALUE!</v>
      </c>
      <c r="I83" t="e" cm="1" vm="12">
        <f t="array" ref="I83">_FV(H83,"Country/region",TRUE)</f>
        <v>#VALUE!</v>
      </c>
      <c r="J83" t="s">
        <v>22</v>
      </c>
      <c r="K83" t="s">
        <v>16</v>
      </c>
      <c r="L83" t="s">
        <v>20</v>
      </c>
      <c r="M83">
        <f>Table1[[#This Row],[Price]]*Table1[[#This Row],[Quantity]]</f>
        <v>2202.19</v>
      </c>
    </row>
    <row r="84" spans="2:13" x14ac:dyDescent="0.3">
      <c r="B84" s="3">
        <v>10538</v>
      </c>
      <c r="C84" s="4">
        <v>44889</v>
      </c>
      <c r="D84" t="s">
        <v>12</v>
      </c>
      <c r="E84" s="3">
        <v>2.95</v>
      </c>
      <c r="F84" s="19">
        <v>746</v>
      </c>
      <c r="G84" s="3">
        <v>0.47</v>
      </c>
      <c r="H84" t="e" vm="11">
        <v>#VALUE!</v>
      </c>
      <c r="I84" t="e" cm="1" vm="12">
        <f t="array" ref="I84">_FV(H84,"Country/region",TRUE)</f>
        <v>#VALUE!</v>
      </c>
      <c r="J84" t="s">
        <v>22</v>
      </c>
      <c r="K84" t="s">
        <v>16</v>
      </c>
      <c r="L84" t="s">
        <v>20</v>
      </c>
      <c r="M84">
        <f>Table1[[#This Row],[Price]]*Table1[[#This Row],[Quantity]]</f>
        <v>2200.7000000000003</v>
      </c>
    </row>
    <row r="85" spans="2:13" x14ac:dyDescent="0.3">
      <c r="B85" s="3">
        <v>10539</v>
      </c>
      <c r="C85" s="4">
        <v>44889</v>
      </c>
      <c r="D85" t="s">
        <v>13</v>
      </c>
      <c r="E85" s="3">
        <v>4.99</v>
      </c>
      <c r="F85" s="19">
        <v>201</v>
      </c>
      <c r="G85" s="3">
        <v>2.25</v>
      </c>
      <c r="H85" t="e" vm="11">
        <v>#VALUE!</v>
      </c>
      <c r="I85" t="e" cm="1" vm="12">
        <f t="array" ref="I85">_FV(H85,"Country/region",TRUE)</f>
        <v>#VALUE!</v>
      </c>
      <c r="J85" t="s">
        <v>22</v>
      </c>
      <c r="K85" t="s">
        <v>16</v>
      </c>
      <c r="L85" t="s">
        <v>20</v>
      </c>
      <c r="M85">
        <f>Table1[[#This Row],[Price]]*Table1[[#This Row],[Quantity]]</f>
        <v>1002.99</v>
      </c>
    </row>
    <row r="86" spans="2:13" x14ac:dyDescent="0.3">
      <c r="B86" s="3">
        <v>10540</v>
      </c>
      <c r="C86" s="4">
        <v>44890</v>
      </c>
      <c r="D86" t="s">
        <v>15</v>
      </c>
      <c r="E86" s="3">
        <v>12.99</v>
      </c>
      <c r="F86" s="19">
        <v>462</v>
      </c>
      <c r="G86" s="3">
        <v>4.32</v>
      </c>
      <c r="H86" t="e" vm="11">
        <v>#VALUE!</v>
      </c>
      <c r="I86" t="e" cm="1" vm="12">
        <f t="array" ref="I86">_FV(H86,"Country/region",TRUE)</f>
        <v>#VALUE!</v>
      </c>
      <c r="J86" t="s">
        <v>22</v>
      </c>
      <c r="K86" t="s">
        <v>16</v>
      </c>
      <c r="L86" t="s">
        <v>20</v>
      </c>
      <c r="M86">
        <f>Table1[[#This Row],[Price]]*Table1[[#This Row],[Quantity]]</f>
        <v>6001.38</v>
      </c>
    </row>
    <row r="87" spans="2:13" x14ac:dyDescent="0.3">
      <c r="B87" s="3">
        <v>10541</v>
      </c>
      <c r="C87" s="4">
        <v>44890</v>
      </c>
      <c r="D87" t="s">
        <v>18</v>
      </c>
      <c r="E87" s="3">
        <v>9.9499999999999993</v>
      </c>
      <c r="F87" s="19">
        <v>202</v>
      </c>
      <c r="G87" s="3">
        <v>2.85</v>
      </c>
      <c r="H87" t="e" vm="9">
        <v>#VALUE!</v>
      </c>
      <c r="I87" t="e" cm="1" vm="10">
        <f t="array" ref="I87">_FV(H87,"Country/region",TRUE)</f>
        <v>#VALUE!</v>
      </c>
      <c r="J87" t="s">
        <v>22</v>
      </c>
      <c r="K87" t="s">
        <v>16</v>
      </c>
      <c r="L87" t="s">
        <v>24</v>
      </c>
      <c r="M87">
        <f>Table1[[#This Row],[Price]]*Table1[[#This Row],[Quantity]]</f>
        <v>2009.8999999999999</v>
      </c>
    </row>
    <row r="88" spans="2:13" x14ac:dyDescent="0.3">
      <c r="B88" s="3">
        <v>10542</v>
      </c>
      <c r="C88" s="4">
        <v>44890</v>
      </c>
      <c r="D88" t="s">
        <v>9</v>
      </c>
      <c r="E88" s="3">
        <v>3.49</v>
      </c>
      <c r="F88" s="19">
        <v>631</v>
      </c>
      <c r="G88" s="3">
        <v>0.88</v>
      </c>
      <c r="H88" t="e" vm="9">
        <v>#VALUE!</v>
      </c>
      <c r="I88" t="e" cm="1" vm="10">
        <f t="array" ref="I88">_FV(H88,"Country/region",TRUE)</f>
        <v>#VALUE!</v>
      </c>
      <c r="J88" t="s">
        <v>22</v>
      </c>
      <c r="K88" t="s">
        <v>16</v>
      </c>
      <c r="L88" t="s">
        <v>24</v>
      </c>
      <c r="M88">
        <f>Table1[[#This Row],[Price]]*Table1[[#This Row],[Quantity]]</f>
        <v>2202.19</v>
      </c>
    </row>
    <row r="89" spans="2:13" x14ac:dyDescent="0.3">
      <c r="B89" s="3">
        <v>10543</v>
      </c>
      <c r="C89" s="4">
        <v>44890</v>
      </c>
      <c r="D89" t="s">
        <v>12</v>
      </c>
      <c r="E89" s="3">
        <v>2.95</v>
      </c>
      <c r="F89" s="19">
        <v>746</v>
      </c>
      <c r="G89" s="3">
        <v>0.47</v>
      </c>
      <c r="H89" t="e" vm="9">
        <v>#VALUE!</v>
      </c>
      <c r="I89" t="e" cm="1" vm="10">
        <f t="array" ref="I89">_FV(H89,"Country/region",TRUE)</f>
        <v>#VALUE!</v>
      </c>
      <c r="J89" t="s">
        <v>22</v>
      </c>
      <c r="K89" t="s">
        <v>16</v>
      </c>
      <c r="L89" t="s">
        <v>24</v>
      </c>
      <c r="M89">
        <f>Table1[[#This Row],[Price]]*Table1[[#This Row],[Quantity]]</f>
        <v>2200.7000000000003</v>
      </c>
    </row>
    <row r="90" spans="2:13" x14ac:dyDescent="0.3">
      <c r="B90" s="3">
        <v>10544</v>
      </c>
      <c r="C90" s="4">
        <v>44890</v>
      </c>
      <c r="D90" t="s">
        <v>13</v>
      </c>
      <c r="E90" s="3">
        <v>4.99</v>
      </c>
      <c r="F90" s="19">
        <v>201</v>
      </c>
      <c r="G90" s="3">
        <v>2.25</v>
      </c>
      <c r="H90" t="e" vm="9">
        <v>#VALUE!</v>
      </c>
      <c r="I90" t="e" cm="1" vm="10">
        <f t="array" ref="I90">_FV(H90,"Country/region",TRUE)</f>
        <v>#VALUE!</v>
      </c>
      <c r="J90" t="s">
        <v>22</v>
      </c>
      <c r="K90" t="s">
        <v>16</v>
      </c>
      <c r="L90" t="s">
        <v>24</v>
      </c>
      <c r="M90">
        <f>Table1[[#This Row],[Price]]*Table1[[#This Row],[Quantity]]</f>
        <v>1002.99</v>
      </c>
    </row>
    <row r="91" spans="2:13" x14ac:dyDescent="0.3">
      <c r="B91" s="3">
        <v>10545</v>
      </c>
      <c r="C91" s="4">
        <v>44891</v>
      </c>
      <c r="D91" t="s">
        <v>15</v>
      </c>
      <c r="E91" s="3">
        <v>12.99</v>
      </c>
      <c r="F91" s="19">
        <v>447</v>
      </c>
      <c r="G91" s="3">
        <v>4.32</v>
      </c>
      <c r="H91" t="e" vm="9">
        <v>#VALUE!</v>
      </c>
      <c r="I91" t="e" cm="1" vm="10">
        <f t="array" ref="I91">_FV(H91,"Country/region",TRUE)</f>
        <v>#VALUE!</v>
      </c>
      <c r="J91" t="s">
        <v>22</v>
      </c>
      <c r="K91" t="s">
        <v>16</v>
      </c>
      <c r="L91" t="s">
        <v>24</v>
      </c>
      <c r="M91">
        <f>Table1[[#This Row],[Price]]*Table1[[#This Row],[Quantity]]</f>
        <v>5806.53</v>
      </c>
    </row>
    <row r="92" spans="2:13" x14ac:dyDescent="0.3">
      <c r="B92" s="3">
        <v>10546</v>
      </c>
      <c r="C92" s="4">
        <v>44891</v>
      </c>
      <c r="D92" t="s">
        <v>18</v>
      </c>
      <c r="E92" s="3">
        <v>9.9499999999999993</v>
      </c>
      <c r="F92" s="19">
        <v>202</v>
      </c>
      <c r="G92" s="3">
        <v>2.85</v>
      </c>
      <c r="H92" t="e" vm="9">
        <v>#VALUE!</v>
      </c>
      <c r="I92" t="e" cm="1" vm="10">
        <f t="array" ref="I92">_FV(H92,"Country/region",TRUE)</f>
        <v>#VALUE!</v>
      </c>
      <c r="J92" t="s">
        <v>22</v>
      </c>
      <c r="K92" t="s">
        <v>16</v>
      </c>
      <c r="L92" t="s">
        <v>24</v>
      </c>
      <c r="M92">
        <f>Table1[[#This Row],[Price]]*Table1[[#This Row],[Quantity]]</f>
        <v>2009.8999999999999</v>
      </c>
    </row>
    <row r="93" spans="2:13" x14ac:dyDescent="0.3">
      <c r="B93" s="3">
        <v>10547</v>
      </c>
      <c r="C93" s="4">
        <v>44891</v>
      </c>
      <c r="D93" t="s">
        <v>9</v>
      </c>
      <c r="E93" s="3">
        <v>3.49</v>
      </c>
      <c r="F93" s="19">
        <v>631</v>
      </c>
      <c r="G93" s="3">
        <v>0.88</v>
      </c>
      <c r="H93" t="e" vm="9">
        <v>#VALUE!</v>
      </c>
      <c r="I93" t="e" cm="1" vm="10">
        <f t="array" ref="I93">_FV(H93,"Country/region",TRUE)</f>
        <v>#VALUE!</v>
      </c>
      <c r="J93" t="s">
        <v>22</v>
      </c>
      <c r="K93" t="s">
        <v>16</v>
      </c>
      <c r="L93" t="s">
        <v>24</v>
      </c>
      <c r="M93">
        <f>Table1[[#This Row],[Price]]*Table1[[#This Row],[Quantity]]</f>
        <v>2202.19</v>
      </c>
    </row>
    <row r="94" spans="2:13" x14ac:dyDescent="0.3">
      <c r="B94" s="3">
        <v>10548</v>
      </c>
      <c r="C94" s="4">
        <v>44891</v>
      </c>
      <c r="D94" t="s">
        <v>12</v>
      </c>
      <c r="E94" s="3">
        <v>2.95</v>
      </c>
      <c r="F94" s="19">
        <v>746</v>
      </c>
      <c r="G94" s="3">
        <v>0.47</v>
      </c>
      <c r="H94" t="e" vm="9">
        <v>#VALUE!</v>
      </c>
      <c r="I94" t="e" cm="1" vm="10">
        <f t="array" ref="I94">_FV(H94,"Country/region",TRUE)</f>
        <v>#VALUE!</v>
      </c>
      <c r="J94" t="s">
        <v>22</v>
      </c>
      <c r="K94" t="s">
        <v>16</v>
      </c>
      <c r="L94" t="s">
        <v>24</v>
      </c>
      <c r="M94">
        <f>Table1[[#This Row],[Price]]*Table1[[#This Row],[Quantity]]</f>
        <v>2200.7000000000003</v>
      </c>
    </row>
    <row r="95" spans="2:13" x14ac:dyDescent="0.3">
      <c r="B95" s="3">
        <v>10549</v>
      </c>
      <c r="C95" s="4">
        <v>44891</v>
      </c>
      <c r="D95" t="s">
        <v>13</v>
      </c>
      <c r="E95" s="3">
        <v>4.99</v>
      </c>
      <c r="F95" s="19">
        <v>201</v>
      </c>
      <c r="G95" s="3">
        <v>2.25</v>
      </c>
      <c r="H95" t="e" vm="9">
        <v>#VALUE!</v>
      </c>
      <c r="I95" t="e" cm="1" vm="10">
        <f t="array" ref="I95">_FV(H95,"Country/region",TRUE)</f>
        <v>#VALUE!</v>
      </c>
      <c r="J95" t="s">
        <v>22</v>
      </c>
      <c r="K95" t="s">
        <v>16</v>
      </c>
      <c r="L95" t="s">
        <v>24</v>
      </c>
      <c r="M95">
        <f>Table1[[#This Row],[Price]]*Table1[[#This Row],[Quantity]]</f>
        <v>1002.99</v>
      </c>
    </row>
    <row r="96" spans="2:13" x14ac:dyDescent="0.3">
      <c r="B96" s="3">
        <v>10550</v>
      </c>
      <c r="C96" s="4">
        <v>44892</v>
      </c>
      <c r="D96" t="s">
        <v>15</v>
      </c>
      <c r="E96" s="3">
        <v>12.99</v>
      </c>
      <c r="F96" s="19">
        <v>462</v>
      </c>
      <c r="G96" s="3">
        <v>4.32</v>
      </c>
      <c r="H96" t="e" vm="9">
        <v>#VALUE!</v>
      </c>
      <c r="I96" t="e" cm="1" vm="10">
        <f t="array" ref="I96">_FV(H96,"Country/region",TRUE)</f>
        <v>#VALUE!</v>
      </c>
      <c r="J96" t="s">
        <v>22</v>
      </c>
      <c r="K96" t="s">
        <v>16</v>
      </c>
      <c r="L96" t="s">
        <v>24</v>
      </c>
      <c r="M96">
        <f>Table1[[#This Row],[Price]]*Table1[[#This Row],[Quantity]]</f>
        <v>6001.38</v>
      </c>
    </row>
    <row r="97" spans="2:13" x14ac:dyDescent="0.3">
      <c r="B97" s="3">
        <v>10551</v>
      </c>
      <c r="C97" s="4">
        <v>44892</v>
      </c>
      <c r="D97" t="s">
        <v>18</v>
      </c>
      <c r="E97" s="3">
        <v>9.9499999999999993</v>
      </c>
      <c r="F97" s="19">
        <v>202</v>
      </c>
      <c r="G97" s="3">
        <v>2.85</v>
      </c>
      <c r="H97" t="e" vm="9">
        <v>#VALUE!</v>
      </c>
      <c r="I97" t="e" cm="1" vm="10">
        <f t="array" ref="I97">_FV(H97,"Country/region",TRUE)</f>
        <v>#VALUE!</v>
      </c>
      <c r="J97" t="s">
        <v>22</v>
      </c>
      <c r="K97" t="s">
        <v>16</v>
      </c>
      <c r="L97" t="s">
        <v>24</v>
      </c>
      <c r="M97">
        <f>Table1[[#This Row],[Price]]*Table1[[#This Row],[Quantity]]</f>
        <v>2009.8999999999999</v>
      </c>
    </row>
    <row r="98" spans="2:13" x14ac:dyDescent="0.3">
      <c r="B98" s="3">
        <v>10552</v>
      </c>
      <c r="C98" s="4">
        <v>44892</v>
      </c>
      <c r="D98" t="s">
        <v>9</v>
      </c>
      <c r="E98" s="3">
        <v>3.49</v>
      </c>
      <c r="F98" s="19">
        <v>631</v>
      </c>
      <c r="G98" s="3">
        <v>0.88</v>
      </c>
      <c r="H98" t="e" vm="9">
        <v>#VALUE!</v>
      </c>
      <c r="I98" t="e" cm="1" vm="10">
        <f t="array" ref="I98">_FV(H98,"Country/region",TRUE)</f>
        <v>#VALUE!</v>
      </c>
      <c r="J98" t="s">
        <v>10</v>
      </c>
      <c r="K98" t="s">
        <v>16</v>
      </c>
      <c r="L98" t="s">
        <v>24</v>
      </c>
      <c r="M98">
        <f>Table1[[#This Row],[Price]]*Table1[[#This Row],[Quantity]]</f>
        <v>2202.19</v>
      </c>
    </row>
    <row r="99" spans="2:13" x14ac:dyDescent="0.3">
      <c r="B99" s="3">
        <v>10553</v>
      </c>
      <c r="C99" s="4">
        <v>44892</v>
      </c>
      <c r="D99" t="s">
        <v>12</v>
      </c>
      <c r="E99" s="3">
        <v>2.95</v>
      </c>
      <c r="F99" s="19">
        <v>746</v>
      </c>
      <c r="G99" s="3">
        <v>0.47</v>
      </c>
      <c r="H99" t="e" vm="9">
        <v>#VALUE!</v>
      </c>
      <c r="I99" t="e" cm="1" vm="10">
        <f t="array" ref="I99">_FV(H99,"Country/region",TRUE)</f>
        <v>#VALUE!</v>
      </c>
      <c r="J99" t="s">
        <v>10</v>
      </c>
      <c r="K99" t="s">
        <v>16</v>
      </c>
      <c r="L99" t="s">
        <v>24</v>
      </c>
      <c r="M99">
        <f>Table1[[#This Row],[Price]]*Table1[[#This Row],[Quantity]]</f>
        <v>2200.7000000000003</v>
      </c>
    </row>
    <row r="100" spans="2:13" x14ac:dyDescent="0.3">
      <c r="B100" s="3">
        <v>10554</v>
      </c>
      <c r="C100" s="4">
        <v>44892</v>
      </c>
      <c r="D100" t="s">
        <v>13</v>
      </c>
      <c r="E100" s="3">
        <v>4.99</v>
      </c>
      <c r="F100" s="19">
        <v>201</v>
      </c>
      <c r="G100" s="3">
        <v>2.25</v>
      </c>
      <c r="H100" t="e" vm="9">
        <v>#VALUE!</v>
      </c>
      <c r="I100" t="e" cm="1" vm="10">
        <f t="array" ref="I100">_FV(H100,"Country/region",TRUE)</f>
        <v>#VALUE!</v>
      </c>
      <c r="J100" t="s">
        <v>10</v>
      </c>
      <c r="K100" t="s">
        <v>16</v>
      </c>
      <c r="L100" t="s">
        <v>24</v>
      </c>
      <c r="M100">
        <f>Table1[[#This Row],[Price]]*Table1[[#This Row],[Quantity]]</f>
        <v>1002.99</v>
      </c>
    </row>
    <row r="101" spans="2:13" x14ac:dyDescent="0.3">
      <c r="B101" s="3">
        <v>10555</v>
      </c>
      <c r="C101" s="4">
        <v>44893</v>
      </c>
      <c r="D101" t="s">
        <v>15</v>
      </c>
      <c r="E101" s="3">
        <v>12.99</v>
      </c>
      <c r="F101" s="19">
        <v>478</v>
      </c>
      <c r="G101" s="3">
        <v>4.32</v>
      </c>
      <c r="H101" t="e" vm="9">
        <v>#VALUE!</v>
      </c>
      <c r="I101" t="e" cm="1" vm="10">
        <f t="array" ref="I101">_FV(H101,"Country/region",TRUE)</f>
        <v>#VALUE!</v>
      </c>
      <c r="J101" t="s">
        <v>10</v>
      </c>
      <c r="K101" t="s">
        <v>16</v>
      </c>
      <c r="L101" t="s">
        <v>24</v>
      </c>
      <c r="M101">
        <f>Table1[[#This Row],[Price]]*Table1[[#This Row],[Quantity]]</f>
        <v>6209.22</v>
      </c>
    </row>
    <row r="102" spans="2:13" x14ac:dyDescent="0.3">
      <c r="B102" s="3">
        <v>10556</v>
      </c>
      <c r="C102" s="4">
        <v>44893</v>
      </c>
      <c r="D102" t="s">
        <v>18</v>
      </c>
      <c r="E102" s="3">
        <v>9.9499999999999993</v>
      </c>
      <c r="F102" s="19">
        <v>202</v>
      </c>
      <c r="G102" s="3">
        <v>2.85</v>
      </c>
      <c r="H102" t="e" vm="9">
        <v>#VALUE!</v>
      </c>
      <c r="I102" t="e" cm="1" vm="10">
        <f t="array" ref="I102">_FV(H102,"Country/region",TRUE)</f>
        <v>#VALUE!</v>
      </c>
      <c r="J102" t="s">
        <v>10</v>
      </c>
      <c r="K102" t="s">
        <v>16</v>
      </c>
      <c r="L102" t="s">
        <v>24</v>
      </c>
      <c r="M102">
        <f>Table1[[#This Row],[Price]]*Table1[[#This Row],[Quantity]]</f>
        <v>2009.8999999999999</v>
      </c>
    </row>
    <row r="103" spans="2:13" x14ac:dyDescent="0.3">
      <c r="B103" s="3">
        <v>10557</v>
      </c>
      <c r="C103" s="4">
        <v>44893</v>
      </c>
      <c r="D103" t="s">
        <v>9</v>
      </c>
      <c r="E103" s="3">
        <v>3.49</v>
      </c>
      <c r="F103" s="19">
        <v>631</v>
      </c>
      <c r="G103" s="3">
        <v>0.88</v>
      </c>
      <c r="H103" t="e" vm="9">
        <v>#VALUE!</v>
      </c>
      <c r="I103" t="e" cm="1" vm="10">
        <f t="array" ref="I103">_FV(H103,"Country/region",TRUE)</f>
        <v>#VALUE!</v>
      </c>
      <c r="J103" t="s">
        <v>10</v>
      </c>
      <c r="K103" t="s">
        <v>16</v>
      </c>
      <c r="L103" t="s">
        <v>24</v>
      </c>
      <c r="M103">
        <f>Table1[[#This Row],[Price]]*Table1[[#This Row],[Quantity]]</f>
        <v>2202.19</v>
      </c>
    </row>
    <row r="104" spans="2:13" x14ac:dyDescent="0.3">
      <c r="B104" s="3">
        <v>10558</v>
      </c>
      <c r="C104" s="4">
        <v>44893</v>
      </c>
      <c r="D104" t="s">
        <v>12</v>
      </c>
      <c r="E104" s="3">
        <v>2.95</v>
      </c>
      <c r="F104" s="19">
        <v>678</v>
      </c>
      <c r="G104" s="3">
        <v>0.47</v>
      </c>
      <c r="H104" t="e" vm="9">
        <v>#VALUE!</v>
      </c>
      <c r="I104" t="e" cm="1" vm="10">
        <f t="array" ref="I104">_FV(H104,"Country/region",TRUE)</f>
        <v>#VALUE!</v>
      </c>
      <c r="J104" t="s">
        <v>10</v>
      </c>
      <c r="K104" t="s">
        <v>16</v>
      </c>
      <c r="L104" t="s">
        <v>24</v>
      </c>
      <c r="M104">
        <f>Table1[[#This Row],[Price]]*Table1[[#This Row],[Quantity]]</f>
        <v>2000.1000000000001</v>
      </c>
    </row>
    <row r="105" spans="2:13" x14ac:dyDescent="0.3">
      <c r="B105" s="3">
        <v>10559</v>
      </c>
      <c r="C105" s="4">
        <v>44893</v>
      </c>
      <c r="D105" t="s">
        <v>13</v>
      </c>
      <c r="E105" s="3">
        <v>4.99</v>
      </c>
      <c r="F105" s="19">
        <v>201</v>
      </c>
      <c r="G105" s="3">
        <v>2.25</v>
      </c>
      <c r="H105" t="e" vm="9">
        <v>#VALUE!</v>
      </c>
      <c r="I105" t="e" cm="1" vm="10">
        <f t="array" ref="I105">_FV(H105,"Country/region",TRUE)</f>
        <v>#VALUE!</v>
      </c>
      <c r="J105" t="s">
        <v>10</v>
      </c>
      <c r="K105" t="s">
        <v>16</v>
      </c>
      <c r="L105" t="s">
        <v>24</v>
      </c>
      <c r="M105">
        <f>Table1[[#This Row],[Price]]*Table1[[#This Row],[Quantity]]</f>
        <v>1002.99</v>
      </c>
    </row>
    <row r="106" spans="2:13" x14ac:dyDescent="0.3">
      <c r="B106" s="3">
        <v>10560</v>
      </c>
      <c r="C106" s="4">
        <v>44894</v>
      </c>
      <c r="D106" t="s">
        <v>15</v>
      </c>
      <c r="E106" s="3">
        <v>12.99</v>
      </c>
      <c r="F106" s="19">
        <v>478</v>
      </c>
      <c r="G106" s="3">
        <v>4.32</v>
      </c>
      <c r="H106" t="e" vm="9">
        <v>#VALUE!</v>
      </c>
      <c r="I106" t="e" cm="1" vm="10">
        <f t="array" ref="I106">_FV(H106,"Country/region",TRUE)</f>
        <v>#VALUE!</v>
      </c>
      <c r="J106" t="s">
        <v>10</v>
      </c>
      <c r="K106" t="s">
        <v>16</v>
      </c>
      <c r="L106" t="s">
        <v>24</v>
      </c>
      <c r="M106">
        <f>Table1[[#This Row],[Price]]*Table1[[#This Row],[Quantity]]</f>
        <v>6209.22</v>
      </c>
    </row>
    <row r="107" spans="2:13" x14ac:dyDescent="0.3">
      <c r="B107" s="3">
        <v>10561</v>
      </c>
      <c r="C107" s="4">
        <v>44894</v>
      </c>
      <c r="D107" t="s">
        <v>18</v>
      </c>
      <c r="E107" s="3">
        <v>9.9499999999999993</v>
      </c>
      <c r="F107" s="19">
        <v>202</v>
      </c>
      <c r="G107" s="3">
        <v>2.85</v>
      </c>
      <c r="H107" t="e" vm="9">
        <v>#VALUE!</v>
      </c>
      <c r="I107" t="e" cm="1" vm="10">
        <f t="array" ref="I107">_FV(H107,"Country/region",TRUE)</f>
        <v>#VALUE!</v>
      </c>
      <c r="J107" t="s">
        <v>10</v>
      </c>
      <c r="K107" t="s">
        <v>16</v>
      </c>
      <c r="L107" t="s">
        <v>24</v>
      </c>
      <c r="M107">
        <f>Table1[[#This Row],[Price]]*Table1[[#This Row],[Quantity]]</f>
        <v>2009.8999999999999</v>
      </c>
    </row>
    <row r="108" spans="2:13" x14ac:dyDescent="0.3">
      <c r="B108" s="3">
        <v>10562</v>
      </c>
      <c r="C108" s="4">
        <v>44894</v>
      </c>
      <c r="D108" t="s">
        <v>9</v>
      </c>
      <c r="E108" s="3">
        <v>3.49</v>
      </c>
      <c r="F108" s="19">
        <v>631</v>
      </c>
      <c r="G108" s="3">
        <v>0.88</v>
      </c>
      <c r="H108" t="e" vm="9">
        <v>#VALUE!</v>
      </c>
      <c r="I108" t="e" cm="1" vm="10">
        <f t="array" ref="I108">_FV(H108,"Country/region",TRUE)</f>
        <v>#VALUE!</v>
      </c>
      <c r="J108" t="s">
        <v>10</v>
      </c>
      <c r="K108" t="s">
        <v>16</v>
      </c>
      <c r="L108" t="s">
        <v>24</v>
      </c>
      <c r="M108">
        <f>Table1[[#This Row],[Price]]*Table1[[#This Row],[Quantity]]</f>
        <v>2202.19</v>
      </c>
    </row>
    <row r="109" spans="2:13" x14ac:dyDescent="0.3">
      <c r="B109" s="3">
        <v>10563</v>
      </c>
      <c r="C109" s="4">
        <v>44894</v>
      </c>
      <c r="D109" t="s">
        <v>12</v>
      </c>
      <c r="E109" s="3">
        <v>2.95</v>
      </c>
      <c r="F109" s="19">
        <v>678</v>
      </c>
      <c r="G109" s="3">
        <v>0.47</v>
      </c>
      <c r="H109" t="e" vm="9">
        <v>#VALUE!</v>
      </c>
      <c r="I109" t="e" cm="1" vm="10">
        <f t="array" ref="I109">_FV(H109,"Country/region",TRUE)</f>
        <v>#VALUE!</v>
      </c>
      <c r="J109" t="s">
        <v>10</v>
      </c>
      <c r="K109" t="s">
        <v>16</v>
      </c>
      <c r="L109" t="s">
        <v>24</v>
      </c>
      <c r="M109">
        <f>Table1[[#This Row],[Price]]*Table1[[#This Row],[Quantity]]</f>
        <v>2000.1000000000001</v>
      </c>
    </row>
    <row r="110" spans="2:13" x14ac:dyDescent="0.3">
      <c r="B110" s="3">
        <v>10564</v>
      </c>
      <c r="C110" s="4">
        <v>44894</v>
      </c>
      <c r="D110" t="s">
        <v>13</v>
      </c>
      <c r="E110" s="3">
        <v>4.99</v>
      </c>
      <c r="F110" s="19">
        <v>201</v>
      </c>
      <c r="G110" s="3">
        <v>2.25</v>
      </c>
      <c r="H110" t="e" vm="9">
        <v>#VALUE!</v>
      </c>
      <c r="I110" t="e" cm="1" vm="10">
        <f t="array" ref="I110">_FV(H110,"Country/region",TRUE)</f>
        <v>#VALUE!</v>
      </c>
      <c r="J110" t="s">
        <v>10</v>
      </c>
      <c r="K110" t="s">
        <v>16</v>
      </c>
      <c r="L110" t="s">
        <v>24</v>
      </c>
      <c r="M110">
        <f>Table1[[#This Row],[Price]]*Table1[[#This Row],[Quantity]]</f>
        <v>1002.99</v>
      </c>
    </row>
    <row r="111" spans="2:13" x14ac:dyDescent="0.3">
      <c r="B111" s="3">
        <v>10565</v>
      </c>
      <c r="C111" s="4">
        <v>44895</v>
      </c>
      <c r="D111" t="s">
        <v>15</v>
      </c>
      <c r="E111" s="3">
        <v>12.99</v>
      </c>
      <c r="F111" s="19">
        <v>493</v>
      </c>
      <c r="G111" s="3">
        <v>4.32</v>
      </c>
      <c r="H111" t="e" vm="9">
        <v>#VALUE!</v>
      </c>
      <c r="I111" t="e" cm="1" vm="10">
        <f t="array" ref="I111">_FV(H111,"Country/region",TRUE)</f>
        <v>#VALUE!</v>
      </c>
      <c r="J111" t="s">
        <v>10</v>
      </c>
      <c r="K111" t="s">
        <v>16</v>
      </c>
      <c r="L111" t="s">
        <v>24</v>
      </c>
      <c r="M111">
        <f>Table1[[#This Row],[Price]]*Table1[[#This Row],[Quantity]]</f>
        <v>6404.07</v>
      </c>
    </row>
    <row r="112" spans="2:13" x14ac:dyDescent="0.3">
      <c r="B112" s="3">
        <v>10566</v>
      </c>
      <c r="C112" s="4">
        <v>44895</v>
      </c>
      <c r="D112" t="s">
        <v>18</v>
      </c>
      <c r="E112" s="3">
        <v>9.9499999999999993</v>
      </c>
      <c r="F112" s="19">
        <v>202</v>
      </c>
      <c r="G112" s="3">
        <v>2.85</v>
      </c>
      <c r="H112" t="e" vm="9">
        <v>#VALUE!</v>
      </c>
      <c r="I112" t="e" cm="1" vm="10">
        <f t="array" ref="I112">_FV(H112,"Country/region",TRUE)</f>
        <v>#VALUE!</v>
      </c>
      <c r="J112" t="s">
        <v>10</v>
      </c>
      <c r="K112" t="s">
        <v>16</v>
      </c>
      <c r="L112" t="s">
        <v>24</v>
      </c>
      <c r="M112">
        <f>Table1[[#This Row],[Price]]*Table1[[#This Row],[Quantity]]</f>
        <v>2009.8999999999999</v>
      </c>
    </row>
    <row r="113" spans="2:13" x14ac:dyDescent="0.3">
      <c r="B113" s="3">
        <v>10567</v>
      </c>
      <c r="C113" s="4">
        <v>44895</v>
      </c>
      <c r="D113" t="s">
        <v>9</v>
      </c>
      <c r="E113" s="3">
        <v>3.49</v>
      </c>
      <c r="F113" s="19">
        <v>631</v>
      </c>
      <c r="G113" s="3">
        <v>0.88</v>
      </c>
      <c r="H113" t="e" vm="9">
        <v>#VALUE!</v>
      </c>
      <c r="I113" t="e" cm="1" vm="10">
        <f t="array" ref="I113">_FV(H113,"Country/region",TRUE)</f>
        <v>#VALUE!</v>
      </c>
      <c r="J113" t="s">
        <v>10</v>
      </c>
      <c r="K113" t="s">
        <v>16</v>
      </c>
      <c r="L113" t="s">
        <v>24</v>
      </c>
      <c r="M113">
        <f>Table1[[#This Row],[Price]]*Table1[[#This Row],[Quantity]]</f>
        <v>2202.19</v>
      </c>
    </row>
    <row r="114" spans="2:13" x14ac:dyDescent="0.3">
      <c r="B114" s="3">
        <v>10568</v>
      </c>
      <c r="C114" s="4">
        <v>44895</v>
      </c>
      <c r="D114" t="s">
        <v>12</v>
      </c>
      <c r="E114" s="3">
        <v>2.95</v>
      </c>
      <c r="F114" s="19">
        <v>678</v>
      </c>
      <c r="G114" s="3">
        <v>0.47</v>
      </c>
      <c r="H114" t="e" vm="9">
        <v>#VALUE!</v>
      </c>
      <c r="I114" t="e" cm="1" vm="10">
        <f t="array" ref="I114">_FV(H114,"Country/region",TRUE)</f>
        <v>#VALUE!</v>
      </c>
      <c r="J114" t="s">
        <v>10</v>
      </c>
      <c r="K114" t="s">
        <v>16</v>
      </c>
      <c r="L114" t="s">
        <v>24</v>
      </c>
      <c r="M114">
        <f>Table1[[#This Row],[Price]]*Table1[[#This Row],[Quantity]]</f>
        <v>2000.1000000000001</v>
      </c>
    </row>
    <row r="115" spans="2:13" x14ac:dyDescent="0.3">
      <c r="B115" s="3">
        <v>10569</v>
      </c>
      <c r="C115" s="4">
        <v>44895</v>
      </c>
      <c r="D115" t="s">
        <v>13</v>
      </c>
      <c r="E115" s="3">
        <v>4.99</v>
      </c>
      <c r="F115" s="19">
        <v>201</v>
      </c>
      <c r="G115" s="3">
        <v>2.25</v>
      </c>
      <c r="H115" t="e" vm="9">
        <v>#VALUE!</v>
      </c>
      <c r="I115" t="e" cm="1" vm="10">
        <f t="array" ref="I115">_FV(H115,"Country/region",TRUE)</f>
        <v>#VALUE!</v>
      </c>
      <c r="J115" t="s">
        <v>10</v>
      </c>
      <c r="K115" t="s">
        <v>16</v>
      </c>
      <c r="L115" t="s">
        <v>24</v>
      </c>
      <c r="M115">
        <f>Table1[[#This Row],[Price]]*Table1[[#This Row],[Quantity]]</f>
        <v>1002.99</v>
      </c>
    </row>
    <row r="116" spans="2:13" x14ac:dyDescent="0.3">
      <c r="B116" s="3">
        <v>10570</v>
      </c>
      <c r="C116" s="4">
        <v>44896</v>
      </c>
      <c r="D116" t="s">
        <v>15</v>
      </c>
      <c r="E116" s="3">
        <v>12.99</v>
      </c>
      <c r="F116" s="19">
        <v>493</v>
      </c>
      <c r="G116" s="3">
        <v>4.32</v>
      </c>
      <c r="H116" t="e" vm="9">
        <v>#VALUE!</v>
      </c>
      <c r="I116" t="e" cm="1" vm="10">
        <f t="array" ref="I116">_FV(H116,"Country/region",TRUE)</f>
        <v>#VALUE!</v>
      </c>
      <c r="J116" t="s">
        <v>10</v>
      </c>
      <c r="K116" t="s">
        <v>16</v>
      </c>
      <c r="L116" t="s">
        <v>24</v>
      </c>
      <c r="M116">
        <f>Table1[[#This Row],[Price]]*Table1[[#This Row],[Quantity]]</f>
        <v>6404.07</v>
      </c>
    </row>
    <row r="117" spans="2:13" x14ac:dyDescent="0.3">
      <c r="B117" s="3">
        <v>10571</v>
      </c>
      <c r="C117" s="4">
        <v>44896</v>
      </c>
      <c r="D117" t="s">
        <v>18</v>
      </c>
      <c r="E117" s="3">
        <v>9.9499999999999993</v>
      </c>
      <c r="F117" s="19">
        <v>202</v>
      </c>
      <c r="G117" s="3">
        <v>2.85</v>
      </c>
      <c r="H117" t="e" vm="9">
        <v>#VALUE!</v>
      </c>
      <c r="I117" t="e" cm="1" vm="10">
        <f t="array" ref="I117">_FV(H117,"Country/region",TRUE)</f>
        <v>#VALUE!</v>
      </c>
      <c r="J117" t="s">
        <v>10</v>
      </c>
      <c r="K117" t="s">
        <v>16</v>
      </c>
      <c r="L117" t="s">
        <v>24</v>
      </c>
      <c r="M117">
        <f>Table1[[#This Row],[Price]]*Table1[[#This Row],[Quantity]]</f>
        <v>2009.8999999999999</v>
      </c>
    </row>
    <row r="118" spans="2:13" x14ac:dyDescent="0.3">
      <c r="B118" s="3">
        <v>10572</v>
      </c>
      <c r="C118" s="4">
        <v>44896</v>
      </c>
      <c r="D118" t="s">
        <v>9</v>
      </c>
      <c r="E118" s="3">
        <v>3.49</v>
      </c>
      <c r="F118" s="19">
        <v>574</v>
      </c>
      <c r="G118" s="3">
        <v>0.88</v>
      </c>
      <c r="H118" t="e" vm="17">
        <v>#VALUE!</v>
      </c>
      <c r="I118" t="e" cm="1" vm="18">
        <f t="array" ref="I118">_FV(H118,"Country/region",TRUE)</f>
        <v>#VALUE!</v>
      </c>
      <c r="J118" t="s">
        <v>10</v>
      </c>
      <c r="K118" t="s">
        <v>16</v>
      </c>
      <c r="L118" t="s">
        <v>19</v>
      </c>
      <c r="M118">
        <f>Table1[[#This Row],[Price]]*Table1[[#This Row],[Quantity]]</f>
        <v>2003.2600000000002</v>
      </c>
    </row>
    <row r="119" spans="2:13" x14ac:dyDescent="0.3">
      <c r="B119" s="3">
        <v>10573</v>
      </c>
      <c r="C119" s="4">
        <v>44896</v>
      </c>
      <c r="D119" t="s">
        <v>12</v>
      </c>
      <c r="E119" s="3">
        <v>2.95</v>
      </c>
      <c r="F119" s="19">
        <v>678</v>
      </c>
      <c r="G119" s="3">
        <v>0.47</v>
      </c>
      <c r="H119" t="e" vm="17">
        <v>#VALUE!</v>
      </c>
      <c r="I119" t="e" cm="1" vm="18">
        <f t="array" ref="I119">_FV(H119,"Country/region",TRUE)</f>
        <v>#VALUE!</v>
      </c>
      <c r="J119" t="s">
        <v>10</v>
      </c>
      <c r="K119" t="s">
        <v>16</v>
      </c>
      <c r="L119" t="s">
        <v>19</v>
      </c>
      <c r="M119">
        <f>Table1[[#This Row],[Price]]*Table1[[#This Row],[Quantity]]</f>
        <v>2000.1000000000001</v>
      </c>
    </row>
    <row r="120" spans="2:13" x14ac:dyDescent="0.3">
      <c r="B120" s="3">
        <v>10574</v>
      </c>
      <c r="C120" s="4">
        <v>44896</v>
      </c>
      <c r="D120" t="s">
        <v>13</v>
      </c>
      <c r="E120" s="3">
        <v>4.99</v>
      </c>
      <c r="F120" s="19">
        <v>201</v>
      </c>
      <c r="G120" s="3">
        <v>2.25</v>
      </c>
      <c r="H120" t="e" vm="17">
        <v>#VALUE!</v>
      </c>
      <c r="I120" t="e" cm="1" vm="18">
        <f t="array" ref="I120">_FV(H120,"Country/region",TRUE)</f>
        <v>#VALUE!</v>
      </c>
      <c r="J120" t="s">
        <v>10</v>
      </c>
      <c r="K120" t="s">
        <v>16</v>
      </c>
      <c r="L120" t="s">
        <v>19</v>
      </c>
      <c r="M120">
        <f>Table1[[#This Row],[Price]]*Table1[[#This Row],[Quantity]]</f>
        <v>1002.99</v>
      </c>
    </row>
    <row r="121" spans="2:13" x14ac:dyDescent="0.3">
      <c r="B121" s="3">
        <v>10575</v>
      </c>
      <c r="C121" s="4">
        <v>44897</v>
      </c>
      <c r="D121" t="s">
        <v>15</v>
      </c>
      <c r="E121" s="3">
        <v>12.99</v>
      </c>
      <c r="F121" s="19">
        <v>524</v>
      </c>
      <c r="G121" s="3">
        <v>4.32</v>
      </c>
      <c r="H121" t="e" vm="17">
        <v>#VALUE!</v>
      </c>
      <c r="I121" t="e" cm="1" vm="18">
        <f t="array" ref="I121">_FV(H121,"Country/region",TRUE)</f>
        <v>#VALUE!</v>
      </c>
      <c r="J121" t="s">
        <v>10</v>
      </c>
      <c r="K121" t="s">
        <v>16</v>
      </c>
      <c r="L121" t="s">
        <v>19</v>
      </c>
      <c r="M121">
        <f>Table1[[#This Row],[Price]]*Table1[[#This Row],[Quantity]]</f>
        <v>6806.76</v>
      </c>
    </row>
    <row r="122" spans="2:13" x14ac:dyDescent="0.3">
      <c r="B122" s="3">
        <v>10576</v>
      </c>
      <c r="C122" s="4">
        <v>44897</v>
      </c>
      <c r="D122" t="s">
        <v>18</v>
      </c>
      <c r="E122" s="3">
        <v>9.9499999999999993</v>
      </c>
      <c r="F122" s="19">
        <v>202</v>
      </c>
      <c r="G122" s="3">
        <v>2.85</v>
      </c>
      <c r="H122" t="e" vm="17">
        <v>#VALUE!</v>
      </c>
      <c r="I122" t="e" cm="1" vm="18">
        <f t="array" ref="I122">_FV(H122,"Country/region",TRUE)</f>
        <v>#VALUE!</v>
      </c>
      <c r="J122" t="s">
        <v>10</v>
      </c>
      <c r="K122" t="s">
        <v>16</v>
      </c>
      <c r="L122" t="s">
        <v>19</v>
      </c>
      <c r="M122">
        <f>Table1[[#This Row],[Price]]*Table1[[#This Row],[Quantity]]</f>
        <v>2009.8999999999999</v>
      </c>
    </row>
    <row r="123" spans="2:13" x14ac:dyDescent="0.3">
      <c r="B123" s="3">
        <v>10577</v>
      </c>
      <c r="C123" s="4">
        <v>44897</v>
      </c>
      <c r="D123" t="s">
        <v>9</v>
      </c>
      <c r="E123" s="3">
        <v>3.49</v>
      </c>
      <c r="F123" s="19">
        <v>631</v>
      </c>
      <c r="G123" s="3">
        <v>0.88</v>
      </c>
      <c r="H123" t="e" vm="17">
        <v>#VALUE!</v>
      </c>
      <c r="I123" t="e" cm="1" vm="18">
        <f t="array" ref="I123">_FV(H123,"Country/region",TRUE)</f>
        <v>#VALUE!</v>
      </c>
      <c r="J123" t="s">
        <v>10</v>
      </c>
      <c r="K123" t="s">
        <v>16</v>
      </c>
      <c r="L123" t="s">
        <v>19</v>
      </c>
      <c r="M123">
        <f>Table1[[#This Row],[Price]]*Table1[[#This Row],[Quantity]]</f>
        <v>2202.19</v>
      </c>
    </row>
    <row r="124" spans="2:13" x14ac:dyDescent="0.3">
      <c r="B124" s="3">
        <v>10578</v>
      </c>
      <c r="C124" s="4">
        <v>44897</v>
      </c>
      <c r="D124" t="s">
        <v>12</v>
      </c>
      <c r="E124" s="3">
        <v>2.95</v>
      </c>
      <c r="F124" s="19">
        <v>678</v>
      </c>
      <c r="G124" s="3">
        <v>0.47</v>
      </c>
      <c r="H124" t="e" vm="17">
        <v>#VALUE!</v>
      </c>
      <c r="I124" t="e" cm="1" vm="18">
        <f t="array" ref="I124">_FV(H124,"Country/region",TRUE)</f>
        <v>#VALUE!</v>
      </c>
      <c r="J124" t="s">
        <v>10</v>
      </c>
      <c r="K124" t="s">
        <v>16</v>
      </c>
      <c r="L124" t="s">
        <v>19</v>
      </c>
      <c r="M124">
        <f>Table1[[#This Row],[Price]]*Table1[[#This Row],[Quantity]]</f>
        <v>2000.1000000000001</v>
      </c>
    </row>
    <row r="125" spans="2:13" x14ac:dyDescent="0.3">
      <c r="B125" s="3">
        <v>10579</v>
      </c>
      <c r="C125" s="4">
        <v>44897</v>
      </c>
      <c r="D125" t="s">
        <v>13</v>
      </c>
      <c r="E125" s="3">
        <v>4.99</v>
      </c>
      <c r="F125" s="19">
        <v>201</v>
      </c>
      <c r="G125" s="3">
        <v>2.25</v>
      </c>
      <c r="H125" t="e" vm="17">
        <v>#VALUE!</v>
      </c>
      <c r="I125" t="e" cm="1" vm="18">
        <f t="array" ref="I125">_FV(H125,"Country/region",TRUE)</f>
        <v>#VALUE!</v>
      </c>
      <c r="J125" t="s">
        <v>10</v>
      </c>
      <c r="K125" t="s">
        <v>16</v>
      </c>
      <c r="L125" t="s">
        <v>19</v>
      </c>
      <c r="M125">
        <f>Table1[[#This Row],[Price]]*Table1[[#This Row],[Quantity]]</f>
        <v>1002.99</v>
      </c>
    </row>
    <row r="126" spans="2:13" x14ac:dyDescent="0.3">
      <c r="B126" s="3">
        <v>10580</v>
      </c>
      <c r="C126" s="4">
        <v>44898</v>
      </c>
      <c r="D126" t="s">
        <v>15</v>
      </c>
      <c r="E126" s="3">
        <v>12.99</v>
      </c>
      <c r="F126" s="19">
        <v>524</v>
      </c>
      <c r="G126" s="3">
        <v>4.32</v>
      </c>
      <c r="H126" t="e" vm="17">
        <v>#VALUE!</v>
      </c>
      <c r="I126" t="e" cm="1" vm="18">
        <f t="array" ref="I126">_FV(H126,"Country/region",TRUE)</f>
        <v>#VALUE!</v>
      </c>
      <c r="J126" t="s">
        <v>10</v>
      </c>
      <c r="K126" t="s">
        <v>16</v>
      </c>
      <c r="L126" t="s">
        <v>19</v>
      </c>
      <c r="M126">
        <f>Table1[[#This Row],[Price]]*Table1[[#This Row],[Quantity]]</f>
        <v>6806.76</v>
      </c>
    </row>
    <row r="127" spans="2:13" x14ac:dyDescent="0.3">
      <c r="B127" s="3">
        <v>10581</v>
      </c>
      <c r="C127" s="4">
        <v>44898</v>
      </c>
      <c r="D127" t="s">
        <v>18</v>
      </c>
      <c r="E127" s="3">
        <v>9.9499999999999993</v>
      </c>
      <c r="F127" s="19">
        <v>202</v>
      </c>
      <c r="G127" s="3">
        <v>2.85</v>
      </c>
      <c r="H127" t="e" vm="17">
        <v>#VALUE!</v>
      </c>
      <c r="I127" t="e" cm="1" vm="18">
        <f t="array" ref="I127">_FV(H127,"Country/region",TRUE)</f>
        <v>#VALUE!</v>
      </c>
      <c r="J127" t="s">
        <v>10</v>
      </c>
      <c r="K127" t="s">
        <v>16</v>
      </c>
      <c r="L127" t="s">
        <v>19</v>
      </c>
      <c r="M127">
        <f>Table1[[#This Row],[Price]]*Table1[[#This Row],[Quantity]]</f>
        <v>2009.8999999999999</v>
      </c>
    </row>
    <row r="128" spans="2:13" x14ac:dyDescent="0.3">
      <c r="B128" s="3">
        <v>10582</v>
      </c>
      <c r="C128" s="4">
        <v>44898</v>
      </c>
      <c r="D128" t="s">
        <v>9</v>
      </c>
      <c r="E128" s="3">
        <v>3.49</v>
      </c>
      <c r="F128" s="19">
        <v>631</v>
      </c>
      <c r="G128" s="3">
        <v>0.88</v>
      </c>
      <c r="H128" t="e" vm="9">
        <v>#VALUE!</v>
      </c>
      <c r="I128" t="e" cm="1" vm="10">
        <f t="array" ref="I128">_FV(H128,"Country/region",TRUE)</f>
        <v>#VALUE!</v>
      </c>
      <c r="J128" t="s">
        <v>10</v>
      </c>
      <c r="K128" t="s">
        <v>16</v>
      </c>
      <c r="L128" t="s">
        <v>24</v>
      </c>
      <c r="M128">
        <f>Table1[[#This Row],[Price]]*Table1[[#This Row],[Quantity]]</f>
        <v>2202.19</v>
      </c>
    </row>
    <row r="129" spans="2:13" x14ac:dyDescent="0.3">
      <c r="B129" s="3">
        <v>10583</v>
      </c>
      <c r="C129" s="4">
        <v>44898</v>
      </c>
      <c r="D129" t="s">
        <v>12</v>
      </c>
      <c r="E129" s="3">
        <v>2.95</v>
      </c>
      <c r="F129" s="19">
        <v>678</v>
      </c>
      <c r="G129" s="3">
        <v>0.47</v>
      </c>
      <c r="H129" t="e" vm="9">
        <v>#VALUE!</v>
      </c>
      <c r="I129" t="e" cm="1" vm="10">
        <f t="array" ref="I129">_FV(H129,"Country/region",TRUE)</f>
        <v>#VALUE!</v>
      </c>
      <c r="J129" t="s">
        <v>10</v>
      </c>
      <c r="K129" t="s">
        <v>16</v>
      </c>
      <c r="L129" t="s">
        <v>24</v>
      </c>
      <c r="M129">
        <f>Table1[[#This Row],[Price]]*Table1[[#This Row],[Quantity]]</f>
        <v>2000.1000000000001</v>
      </c>
    </row>
    <row r="130" spans="2:13" x14ac:dyDescent="0.3">
      <c r="B130" s="3">
        <v>10584</v>
      </c>
      <c r="C130" s="4">
        <v>44898</v>
      </c>
      <c r="D130" t="s">
        <v>13</v>
      </c>
      <c r="E130" s="3">
        <v>4.99</v>
      </c>
      <c r="F130" s="19">
        <v>201</v>
      </c>
      <c r="G130" s="3">
        <v>2.25</v>
      </c>
      <c r="H130" t="e" vm="9">
        <v>#VALUE!</v>
      </c>
      <c r="I130" t="e" cm="1" vm="10">
        <f t="array" ref="I130">_FV(H130,"Country/region",TRUE)</f>
        <v>#VALUE!</v>
      </c>
      <c r="J130" t="s">
        <v>10</v>
      </c>
      <c r="K130" t="s">
        <v>16</v>
      </c>
      <c r="L130" t="s">
        <v>24</v>
      </c>
      <c r="M130">
        <f>Table1[[#This Row],[Price]]*Table1[[#This Row],[Quantity]]</f>
        <v>1002.99</v>
      </c>
    </row>
    <row r="131" spans="2:13" x14ac:dyDescent="0.3">
      <c r="B131" s="3">
        <v>10585</v>
      </c>
      <c r="C131" s="4">
        <v>44899</v>
      </c>
      <c r="D131" t="s">
        <v>15</v>
      </c>
      <c r="E131" s="3">
        <v>12.99</v>
      </c>
      <c r="F131" s="19">
        <v>539</v>
      </c>
      <c r="G131" s="3">
        <v>4.32</v>
      </c>
      <c r="H131" t="e" vm="9">
        <v>#VALUE!</v>
      </c>
      <c r="I131" t="e" cm="1" vm="10">
        <f t="array" ref="I131">_FV(H131,"Country/region",TRUE)</f>
        <v>#VALUE!</v>
      </c>
      <c r="J131" t="s">
        <v>10</v>
      </c>
      <c r="K131" t="s">
        <v>16</v>
      </c>
      <c r="L131" t="s">
        <v>24</v>
      </c>
      <c r="M131">
        <f>Table1[[#This Row],[Price]]*Table1[[#This Row],[Quantity]]</f>
        <v>7001.61</v>
      </c>
    </row>
    <row r="132" spans="2:13" x14ac:dyDescent="0.3">
      <c r="B132" s="3">
        <v>10586</v>
      </c>
      <c r="C132" s="4">
        <v>44899</v>
      </c>
      <c r="D132" t="s">
        <v>18</v>
      </c>
      <c r="E132" s="3">
        <v>9.9499999999999993</v>
      </c>
      <c r="F132" s="19">
        <v>202</v>
      </c>
      <c r="G132" s="3">
        <v>2.85</v>
      </c>
      <c r="H132" t="e" vm="9">
        <v>#VALUE!</v>
      </c>
      <c r="I132" t="e" cm="1" vm="10">
        <f t="array" ref="I132">_FV(H132,"Country/region",TRUE)</f>
        <v>#VALUE!</v>
      </c>
      <c r="J132" t="s">
        <v>10</v>
      </c>
      <c r="K132" t="s">
        <v>16</v>
      </c>
      <c r="L132" t="s">
        <v>24</v>
      </c>
      <c r="M132">
        <f>Table1[[#This Row],[Price]]*Table1[[#This Row],[Quantity]]</f>
        <v>2009.8999999999999</v>
      </c>
    </row>
    <row r="133" spans="2:13" x14ac:dyDescent="0.3">
      <c r="B133" s="3">
        <v>10590</v>
      </c>
      <c r="C133" s="4">
        <v>44900</v>
      </c>
      <c r="D133" t="s">
        <v>15</v>
      </c>
      <c r="E133" s="3">
        <v>12.99</v>
      </c>
      <c r="F133" s="19">
        <v>555</v>
      </c>
      <c r="G133" s="3">
        <v>4.32</v>
      </c>
      <c r="H133" t="e" vm="9">
        <v>#VALUE!</v>
      </c>
      <c r="I133" t="e" cm="1" vm="10">
        <f t="array" ref="I133">_FV(H133,"Country/region",TRUE)</f>
        <v>#VALUE!</v>
      </c>
      <c r="J133" t="s">
        <v>10</v>
      </c>
      <c r="K133" t="s">
        <v>16</v>
      </c>
      <c r="L133" t="s">
        <v>24</v>
      </c>
      <c r="M133">
        <f>Table1[[#This Row],[Price]]*Table1[[#This Row],[Quantity]]</f>
        <v>7209.45</v>
      </c>
    </row>
    <row r="134" spans="2:13" x14ac:dyDescent="0.3">
      <c r="B134" s="3">
        <v>10591</v>
      </c>
      <c r="C134" s="4">
        <v>44900</v>
      </c>
      <c r="D134" t="s">
        <v>18</v>
      </c>
      <c r="E134" s="3">
        <v>9.9499999999999993</v>
      </c>
      <c r="F134" s="19">
        <v>202</v>
      </c>
      <c r="G134" s="3">
        <v>2.85</v>
      </c>
      <c r="H134" t="e" vm="9">
        <v>#VALUE!</v>
      </c>
      <c r="I134" t="e" cm="1" vm="10">
        <f t="array" ref="I134">_FV(H134,"Country/region",TRUE)</f>
        <v>#VALUE!</v>
      </c>
      <c r="J134" t="s">
        <v>10</v>
      </c>
      <c r="K134" t="s">
        <v>16</v>
      </c>
      <c r="L134" t="s">
        <v>24</v>
      </c>
      <c r="M134">
        <f>Table1[[#This Row],[Price]]*Table1[[#This Row],[Quantity]]</f>
        <v>2009.8999999999999</v>
      </c>
    </row>
    <row r="135" spans="2:13" x14ac:dyDescent="0.3">
      <c r="B135" s="3">
        <v>10592</v>
      </c>
      <c r="C135" s="4">
        <v>44900</v>
      </c>
      <c r="D135" t="s">
        <v>9</v>
      </c>
      <c r="E135" s="3">
        <v>3.49</v>
      </c>
      <c r="F135" s="19">
        <v>574</v>
      </c>
      <c r="G135" s="3">
        <v>0.88</v>
      </c>
      <c r="H135" t="e" vm="9">
        <v>#VALUE!</v>
      </c>
      <c r="I135" t="e" cm="1" vm="10">
        <f t="array" ref="I135">_FV(H135,"Country/region",TRUE)</f>
        <v>#VALUE!</v>
      </c>
      <c r="J135" t="s">
        <v>10</v>
      </c>
      <c r="K135" t="s">
        <v>16</v>
      </c>
      <c r="L135" t="s">
        <v>24</v>
      </c>
      <c r="M135">
        <f>Table1[[#This Row],[Price]]*Table1[[#This Row],[Quantity]]</f>
        <v>2003.2600000000002</v>
      </c>
    </row>
    <row r="136" spans="2:13" x14ac:dyDescent="0.3">
      <c r="B136" s="3">
        <v>10593</v>
      </c>
      <c r="C136" s="4">
        <v>44900</v>
      </c>
      <c r="D136" t="s">
        <v>12</v>
      </c>
      <c r="E136" s="3">
        <v>2.95</v>
      </c>
      <c r="F136" s="19">
        <v>678</v>
      </c>
      <c r="G136" s="3">
        <v>0.47</v>
      </c>
      <c r="H136" t="e" vm="9">
        <v>#VALUE!</v>
      </c>
      <c r="I136" t="e" cm="1" vm="10">
        <f t="array" ref="I136">_FV(H136,"Country/region",TRUE)</f>
        <v>#VALUE!</v>
      </c>
      <c r="J136" t="s">
        <v>10</v>
      </c>
      <c r="K136" t="s">
        <v>16</v>
      </c>
      <c r="L136" t="s">
        <v>24</v>
      </c>
      <c r="M136">
        <f>Table1[[#This Row],[Price]]*Table1[[#This Row],[Quantity]]</f>
        <v>2000.1000000000001</v>
      </c>
    </row>
    <row r="137" spans="2:13" x14ac:dyDescent="0.3">
      <c r="B137" s="3">
        <v>10594</v>
      </c>
      <c r="C137" s="4">
        <v>44900</v>
      </c>
      <c r="D137" t="s">
        <v>13</v>
      </c>
      <c r="E137" s="3">
        <v>4.99</v>
      </c>
      <c r="F137" s="19">
        <v>201</v>
      </c>
      <c r="G137" s="3">
        <v>2.25</v>
      </c>
      <c r="H137" t="e" vm="9">
        <v>#VALUE!</v>
      </c>
      <c r="I137" t="e" cm="1" vm="10">
        <f t="array" ref="I137">_FV(H137,"Country/region",TRUE)</f>
        <v>#VALUE!</v>
      </c>
      <c r="J137" t="s">
        <v>10</v>
      </c>
      <c r="K137" t="s">
        <v>16</v>
      </c>
      <c r="L137" t="s">
        <v>24</v>
      </c>
      <c r="M137">
        <f>Table1[[#This Row],[Price]]*Table1[[#This Row],[Quantity]]</f>
        <v>1002.99</v>
      </c>
    </row>
    <row r="138" spans="2:13" x14ac:dyDescent="0.3">
      <c r="B138" s="3">
        <v>10595</v>
      </c>
      <c r="C138" s="4">
        <v>44901</v>
      </c>
      <c r="D138" t="s">
        <v>15</v>
      </c>
      <c r="E138" s="3">
        <v>12.99</v>
      </c>
      <c r="F138" s="19">
        <v>539</v>
      </c>
      <c r="G138" s="3">
        <v>4.32</v>
      </c>
      <c r="H138" t="e" vm="9">
        <v>#VALUE!</v>
      </c>
      <c r="I138" t="e" cm="1" vm="10">
        <f t="array" ref="I138">_FV(H138,"Country/region",TRUE)</f>
        <v>#VALUE!</v>
      </c>
      <c r="J138" t="s">
        <v>10</v>
      </c>
      <c r="K138" t="s">
        <v>16</v>
      </c>
      <c r="L138" t="s">
        <v>24</v>
      </c>
      <c r="M138">
        <f>Table1[[#This Row],[Price]]*Table1[[#This Row],[Quantity]]</f>
        <v>7001.61</v>
      </c>
    </row>
    <row r="139" spans="2:13" x14ac:dyDescent="0.3">
      <c r="B139" s="3">
        <v>10596</v>
      </c>
      <c r="C139" s="4">
        <v>44901</v>
      </c>
      <c r="D139" t="s">
        <v>18</v>
      </c>
      <c r="E139" s="3">
        <v>9.9499999999999993</v>
      </c>
      <c r="F139" s="19">
        <v>202</v>
      </c>
      <c r="G139" s="3">
        <v>2.85</v>
      </c>
      <c r="H139" t="e" vm="9">
        <v>#VALUE!</v>
      </c>
      <c r="I139" t="e" cm="1" vm="10">
        <f t="array" ref="I139">_FV(H139,"Country/region",TRUE)</f>
        <v>#VALUE!</v>
      </c>
      <c r="J139" t="s">
        <v>10</v>
      </c>
      <c r="K139" t="s">
        <v>16</v>
      </c>
      <c r="L139" t="s">
        <v>24</v>
      </c>
      <c r="M139">
        <f>Table1[[#This Row],[Price]]*Table1[[#This Row],[Quantity]]</f>
        <v>2009.8999999999999</v>
      </c>
    </row>
    <row r="140" spans="2:13" x14ac:dyDescent="0.3">
      <c r="B140" s="3">
        <v>10597</v>
      </c>
      <c r="C140" s="4">
        <v>44901</v>
      </c>
      <c r="D140" t="s">
        <v>9</v>
      </c>
      <c r="E140" s="3">
        <v>3.49</v>
      </c>
      <c r="F140" s="19">
        <v>574</v>
      </c>
      <c r="G140" s="3">
        <v>0.88</v>
      </c>
      <c r="H140" t="e" vm="9">
        <v>#VALUE!</v>
      </c>
      <c r="I140" t="e" cm="1" vm="10">
        <f t="array" ref="I140">_FV(H140,"Country/region",TRUE)</f>
        <v>#VALUE!</v>
      </c>
      <c r="J140" t="s">
        <v>10</v>
      </c>
      <c r="K140" t="s">
        <v>16</v>
      </c>
      <c r="L140" t="s">
        <v>24</v>
      </c>
      <c r="M140">
        <f>Table1[[#This Row],[Price]]*Table1[[#This Row],[Quantity]]</f>
        <v>2003.2600000000002</v>
      </c>
    </row>
    <row r="141" spans="2:13" x14ac:dyDescent="0.3">
      <c r="B141" s="3">
        <v>10598</v>
      </c>
      <c r="C141" s="4">
        <v>44901</v>
      </c>
      <c r="D141" t="s">
        <v>12</v>
      </c>
      <c r="E141" s="3">
        <v>2.95</v>
      </c>
      <c r="F141" s="19">
        <v>678</v>
      </c>
      <c r="G141" s="3">
        <v>0.47</v>
      </c>
      <c r="H141" t="e" vm="9">
        <v>#VALUE!</v>
      </c>
      <c r="I141" t="e" cm="1" vm="10">
        <f t="array" ref="I141">_FV(H141,"Country/region",TRUE)</f>
        <v>#VALUE!</v>
      </c>
      <c r="J141" t="s">
        <v>10</v>
      </c>
      <c r="K141" t="s">
        <v>16</v>
      </c>
      <c r="L141" t="s">
        <v>24</v>
      </c>
      <c r="M141">
        <f>Table1[[#This Row],[Price]]*Table1[[#This Row],[Quantity]]</f>
        <v>2000.1000000000001</v>
      </c>
    </row>
    <row r="142" spans="2:13" x14ac:dyDescent="0.3">
      <c r="B142" s="3">
        <v>10599</v>
      </c>
      <c r="C142" s="4">
        <v>44901</v>
      </c>
      <c r="D142" t="s">
        <v>13</v>
      </c>
      <c r="E142" s="3">
        <v>4.99</v>
      </c>
      <c r="F142" s="19">
        <v>201</v>
      </c>
      <c r="G142" s="3">
        <v>2.25</v>
      </c>
      <c r="H142" t="e" vm="9">
        <v>#VALUE!</v>
      </c>
      <c r="I142" t="e" cm="1" vm="10">
        <f t="array" ref="I142">_FV(H142,"Country/region",TRUE)</f>
        <v>#VALUE!</v>
      </c>
      <c r="J142" t="s">
        <v>10</v>
      </c>
      <c r="K142" t="s">
        <v>16</v>
      </c>
      <c r="L142" t="s">
        <v>24</v>
      </c>
      <c r="M142">
        <f>Table1[[#This Row],[Price]]*Table1[[#This Row],[Quantity]]</f>
        <v>1002.99</v>
      </c>
    </row>
    <row r="143" spans="2:13" x14ac:dyDescent="0.3">
      <c r="B143" s="3">
        <v>10600</v>
      </c>
      <c r="C143" s="4">
        <v>44902</v>
      </c>
      <c r="D143" t="s">
        <v>15</v>
      </c>
      <c r="E143" s="3">
        <v>12.99</v>
      </c>
      <c r="F143" s="19">
        <v>524</v>
      </c>
      <c r="G143" s="3">
        <v>4.32</v>
      </c>
      <c r="H143" t="e" vm="9">
        <v>#VALUE!</v>
      </c>
      <c r="I143" t="e" cm="1" vm="10">
        <f t="array" ref="I143">_FV(H143,"Country/region",TRUE)</f>
        <v>#VALUE!</v>
      </c>
      <c r="J143" t="s">
        <v>10</v>
      </c>
      <c r="K143" t="s">
        <v>16</v>
      </c>
      <c r="L143" t="s">
        <v>24</v>
      </c>
      <c r="M143">
        <f>Table1[[#This Row],[Price]]*Table1[[#This Row],[Quantity]]</f>
        <v>6806.76</v>
      </c>
    </row>
    <row r="144" spans="2:13" x14ac:dyDescent="0.3">
      <c r="B144" s="3">
        <v>10601</v>
      </c>
      <c r="C144" s="4">
        <v>44902</v>
      </c>
      <c r="D144" t="s">
        <v>18</v>
      </c>
      <c r="E144" s="3">
        <v>9.9499999999999993</v>
      </c>
      <c r="F144" s="19">
        <v>202</v>
      </c>
      <c r="G144" s="3">
        <v>2.85</v>
      </c>
      <c r="H144" t="e" vm="9">
        <v>#VALUE!</v>
      </c>
      <c r="I144" t="e" cm="1" vm="10">
        <f t="array" ref="I144">_FV(H144,"Country/region",TRUE)</f>
        <v>#VALUE!</v>
      </c>
      <c r="J144" t="s">
        <v>10</v>
      </c>
      <c r="K144" t="s">
        <v>16</v>
      </c>
      <c r="L144" t="s">
        <v>24</v>
      </c>
      <c r="M144">
        <f>Table1[[#This Row],[Price]]*Table1[[#This Row],[Quantity]]</f>
        <v>2009.8999999999999</v>
      </c>
    </row>
    <row r="145" spans="2:13" x14ac:dyDescent="0.3">
      <c r="B145" s="3">
        <v>10602</v>
      </c>
      <c r="C145" s="4">
        <v>44902</v>
      </c>
      <c r="D145" t="s">
        <v>9</v>
      </c>
      <c r="E145" s="3">
        <v>3.49</v>
      </c>
      <c r="F145" s="19">
        <v>631</v>
      </c>
      <c r="G145" s="3">
        <v>0.88</v>
      </c>
      <c r="H145" t="e" vm="9">
        <v>#VALUE!</v>
      </c>
      <c r="I145" t="e" cm="1" vm="10">
        <f t="array" ref="I145">_FV(H145,"Country/region",TRUE)</f>
        <v>#VALUE!</v>
      </c>
      <c r="J145" t="s">
        <v>10</v>
      </c>
      <c r="K145" t="s">
        <v>23</v>
      </c>
      <c r="L145" t="s">
        <v>24</v>
      </c>
      <c r="M145">
        <f>Table1[[#This Row],[Price]]*Table1[[#This Row],[Quantity]]</f>
        <v>2202.19</v>
      </c>
    </row>
    <row r="146" spans="2:13" x14ac:dyDescent="0.3">
      <c r="B146" s="3">
        <v>10603</v>
      </c>
      <c r="C146" s="4">
        <v>44902</v>
      </c>
      <c r="D146" t="s">
        <v>12</v>
      </c>
      <c r="E146" s="3">
        <v>2.95</v>
      </c>
      <c r="F146" s="19">
        <v>678</v>
      </c>
      <c r="G146" s="3">
        <v>0.47</v>
      </c>
      <c r="H146" t="e" vm="9">
        <v>#VALUE!</v>
      </c>
      <c r="I146" t="e" cm="1" vm="10">
        <f t="array" ref="I146">_FV(H146,"Country/region",TRUE)</f>
        <v>#VALUE!</v>
      </c>
      <c r="J146" t="s">
        <v>10</v>
      </c>
      <c r="K146" t="s">
        <v>23</v>
      </c>
      <c r="L146" t="s">
        <v>24</v>
      </c>
      <c r="M146">
        <f>Table1[[#This Row],[Price]]*Table1[[#This Row],[Quantity]]</f>
        <v>2000.1000000000001</v>
      </c>
    </row>
    <row r="147" spans="2:13" x14ac:dyDescent="0.3">
      <c r="B147" s="3">
        <v>10604</v>
      </c>
      <c r="C147" s="4">
        <v>44902</v>
      </c>
      <c r="D147" t="s">
        <v>13</v>
      </c>
      <c r="E147" s="3">
        <v>4.99</v>
      </c>
      <c r="F147" s="19">
        <v>201</v>
      </c>
      <c r="G147" s="3">
        <v>2.25</v>
      </c>
      <c r="H147" t="e" vm="9">
        <v>#VALUE!</v>
      </c>
      <c r="I147" t="e" cm="1" vm="10">
        <f t="array" ref="I147">_FV(H147,"Country/region",TRUE)</f>
        <v>#VALUE!</v>
      </c>
      <c r="J147" t="s">
        <v>10</v>
      </c>
      <c r="K147" t="s">
        <v>23</v>
      </c>
      <c r="L147" t="s">
        <v>24</v>
      </c>
      <c r="M147">
        <f>Table1[[#This Row],[Price]]*Table1[[#This Row],[Quantity]]</f>
        <v>1002.99</v>
      </c>
    </row>
    <row r="148" spans="2:13" x14ac:dyDescent="0.3">
      <c r="B148" s="3">
        <v>10605</v>
      </c>
      <c r="C148" s="4">
        <v>44903</v>
      </c>
      <c r="D148" t="s">
        <v>15</v>
      </c>
      <c r="E148" s="3">
        <v>12.99</v>
      </c>
      <c r="F148" s="19">
        <v>539</v>
      </c>
      <c r="G148" s="3">
        <v>4.32</v>
      </c>
      <c r="H148" t="e" vm="9">
        <v>#VALUE!</v>
      </c>
      <c r="I148" t="e" cm="1" vm="10">
        <f t="array" ref="I148">_FV(H148,"Country/region",TRUE)</f>
        <v>#VALUE!</v>
      </c>
      <c r="J148" t="s">
        <v>10</v>
      </c>
      <c r="K148" t="s">
        <v>23</v>
      </c>
      <c r="L148" t="s">
        <v>24</v>
      </c>
      <c r="M148">
        <f>Table1[[#This Row],[Price]]*Table1[[#This Row],[Quantity]]</f>
        <v>7001.61</v>
      </c>
    </row>
    <row r="149" spans="2:13" x14ac:dyDescent="0.3">
      <c r="B149" s="3">
        <v>10606</v>
      </c>
      <c r="C149" s="4">
        <v>44903</v>
      </c>
      <c r="D149" t="s">
        <v>18</v>
      </c>
      <c r="E149" s="3">
        <v>9.9499999999999993</v>
      </c>
      <c r="F149" s="19">
        <v>202</v>
      </c>
      <c r="G149" s="3">
        <v>2.85</v>
      </c>
      <c r="H149" t="e" vm="9">
        <v>#VALUE!</v>
      </c>
      <c r="I149" t="e" cm="1" vm="10">
        <f t="array" ref="I149">_FV(H149,"Country/region",TRUE)</f>
        <v>#VALUE!</v>
      </c>
      <c r="J149" t="s">
        <v>10</v>
      </c>
      <c r="K149" t="s">
        <v>23</v>
      </c>
      <c r="L149" t="s">
        <v>24</v>
      </c>
      <c r="M149">
        <f>Table1[[#This Row],[Price]]*Table1[[#This Row],[Quantity]]</f>
        <v>2009.8999999999999</v>
      </c>
    </row>
    <row r="150" spans="2:13" x14ac:dyDescent="0.3">
      <c r="B150" s="3">
        <v>10607</v>
      </c>
      <c r="C150" s="4">
        <v>44903</v>
      </c>
      <c r="D150" t="s">
        <v>9</v>
      </c>
      <c r="E150" s="3">
        <v>3.49</v>
      </c>
      <c r="F150" s="19">
        <v>631</v>
      </c>
      <c r="G150" s="3">
        <v>0.88</v>
      </c>
      <c r="H150" t="e" vm="9">
        <v>#VALUE!</v>
      </c>
      <c r="I150" t="e" cm="1" vm="10">
        <f t="array" ref="I150">_FV(H150,"Country/region",TRUE)</f>
        <v>#VALUE!</v>
      </c>
      <c r="J150" t="s">
        <v>10</v>
      </c>
      <c r="K150" t="s">
        <v>23</v>
      </c>
      <c r="L150" t="s">
        <v>24</v>
      </c>
      <c r="M150">
        <f>Table1[[#This Row],[Price]]*Table1[[#This Row],[Quantity]]</f>
        <v>2202.19</v>
      </c>
    </row>
    <row r="151" spans="2:13" x14ac:dyDescent="0.3">
      <c r="B151" s="3">
        <v>10608</v>
      </c>
      <c r="C151" s="4">
        <v>44903</v>
      </c>
      <c r="D151" t="s">
        <v>12</v>
      </c>
      <c r="E151" s="3">
        <v>2.95</v>
      </c>
      <c r="F151" s="19">
        <v>678</v>
      </c>
      <c r="G151" s="3">
        <v>0.47</v>
      </c>
      <c r="H151" t="e" vm="9">
        <v>#VALUE!</v>
      </c>
      <c r="I151" t="e" cm="1" vm="10">
        <f t="array" ref="I151">_FV(H151,"Country/region",TRUE)</f>
        <v>#VALUE!</v>
      </c>
      <c r="J151" t="s">
        <v>10</v>
      </c>
      <c r="K151" t="s">
        <v>11</v>
      </c>
      <c r="L151" t="s">
        <v>24</v>
      </c>
      <c r="M151">
        <f>Table1[[#This Row],[Price]]*Table1[[#This Row],[Quantity]]</f>
        <v>2000.1000000000001</v>
      </c>
    </row>
    <row r="152" spans="2:13" x14ac:dyDescent="0.3">
      <c r="B152" s="3">
        <v>10609</v>
      </c>
      <c r="C152" s="4">
        <v>44903</v>
      </c>
      <c r="D152" t="s">
        <v>13</v>
      </c>
      <c r="E152" s="3">
        <v>4.99</v>
      </c>
      <c r="F152" s="19">
        <v>201</v>
      </c>
      <c r="G152" s="3">
        <v>2.25</v>
      </c>
      <c r="H152" t="e" vm="9">
        <v>#VALUE!</v>
      </c>
      <c r="I152" t="e" cm="1" vm="10">
        <f t="array" ref="I152">_FV(H152,"Country/region",TRUE)</f>
        <v>#VALUE!</v>
      </c>
      <c r="J152" t="s">
        <v>10</v>
      </c>
      <c r="K152" t="s">
        <v>11</v>
      </c>
      <c r="L152" t="s">
        <v>24</v>
      </c>
      <c r="M152">
        <f>Table1[[#This Row],[Price]]*Table1[[#This Row],[Quantity]]</f>
        <v>1002.99</v>
      </c>
    </row>
    <row r="153" spans="2:13" x14ac:dyDescent="0.3">
      <c r="B153" s="3">
        <v>10610</v>
      </c>
      <c r="C153" s="4">
        <v>44904</v>
      </c>
      <c r="D153" t="s">
        <v>15</v>
      </c>
      <c r="E153" s="3">
        <v>12.99</v>
      </c>
      <c r="F153" s="19">
        <v>570</v>
      </c>
      <c r="G153" s="3">
        <v>4.32</v>
      </c>
      <c r="H153" t="e" vm="9">
        <v>#VALUE!</v>
      </c>
      <c r="I153" t="e" cm="1" vm="10">
        <f t="array" ref="I153">_FV(H153,"Country/region",TRUE)</f>
        <v>#VALUE!</v>
      </c>
      <c r="J153" t="s">
        <v>10</v>
      </c>
      <c r="K153" t="s">
        <v>11</v>
      </c>
      <c r="L153" t="s">
        <v>24</v>
      </c>
      <c r="M153">
        <f>Table1[[#This Row],[Price]]*Table1[[#This Row],[Quantity]]</f>
        <v>7404.3</v>
      </c>
    </row>
    <row r="154" spans="2:13" x14ac:dyDescent="0.3">
      <c r="B154" s="3">
        <v>10611</v>
      </c>
      <c r="C154" s="4">
        <v>44904</v>
      </c>
      <c r="D154" t="s">
        <v>18</v>
      </c>
      <c r="E154" s="3">
        <v>9.9499999999999993</v>
      </c>
      <c r="F154" s="19">
        <v>202</v>
      </c>
      <c r="G154" s="3">
        <v>2.85</v>
      </c>
      <c r="H154" t="e" vm="9">
        <v>#VALUE!</v>
      </c>
      <c r="I154" t="e" cm="1" vm="10">
        <f t="array" ref="I154">_FV(H154,"Country/region",TRUE)</f>
        <v>#VALUE!</v>
      </c>
      <c r="J154" t="s">
        <v>10</v>
      </c>
      <c r="K154" t="s">
        <v>11</v>
      </c>
      <c r="L154" t="s">
        <v>24</v>
      </c>
      <c r="M154">
        <f>Table1[[#This Row],[Price]]*Table1[[#This Row],[Quantity]]</f>
        <v>2009.8999999999999</v>
      </c>
    </row>
    <row r="155" spans="2:13" x14ac:dyDescent="0.3">
      <c r="B155" s="3">
        <v>10612</v>
      </c>
      <c r="C155" s="4">
        <v>44904</v>
      </c>
      <c r="D155" t="s">
        <v>9</v>
      </c>
      <c r="E155" s="3">
        <v>3.49</v>
      </c>
      <c r="F155" s="19">
        <v>631</v>
      </c>
      <c r="G155" s="3">
        <v>0.88</v>
      </c>
      <c r="H155" t="e" vm="9">
        <v>#VALUE!</v>
      </c>
      <c r="I155" t="e" cm="1" vm="10">
        <f t="array" ref="I155">_FV(H155,"Country/region",TRUE)</f>
        <v>#VALUE!</v>
      </c>
      <c r="J155" t="s">
        <v>10</v>
      </c>
      <c r="K155" t="s">
        <v>11</v>
      </c>
      <c r="L155" t="s">
        <v>24</v>
      </c>
      <c r="M155">
        <f>Table1[[#This Row],[Price]]*Table1[[#This Row],[Quantity]]</f>
        <v>2202.19</v>
      </c>
    </row>
    <row r="156" spans="2:13" x14ac:dyDescent="0.3">
      <c r="B156" s="3">
        <v>10613</v>
      </c>
      <c r="C156" s="4">
        <v>44904</v>
      </c>
      <c r="D156" t="s">
        <v>12</v>
      </c>
      <c r="E156" s="3">
        <v>2.95</v>
      </c>
      <c r="F156" s="19">
        <v>678</v>
      </c>
      <c r="G156" s="3">
        <v>0.47</v>
      </c>
      <c r="H156" t="e" vm="9">
        <v>#VALUE!</v>
      </c>
      <c r="I156" t="e" cm="1" vm="10">
        <f t="array" ref="I156">_FV(H156,"Country/region",TRUE)</f>
        <v>#VALUE!</v>
      </c>
      <c r="J156" t="s">
        <v>10</v>
      </c>
      <c r="K156" t="s">
        <v>11</v>
      </c>
      <c r="L156" t="s">
        <v>24</v>
      </c>
      <c r="M156">
        <f>Table1[[#This Row],[Price]]*Table1[[#This Row],[Quantity]]</f>
        <v>2000.1000000000001</v>
      </c>
    </row>
    <row r="157" spans="2:13" x14ac:dyDescent="0.3">
      <c r="B157" s="3">
        <v>10614</v>
      </c>
      <c r="C157" s="4">
        <v>44904</v>
      </c>
      <c r="D157" t="s">
        <v>13</v>
      </c>
      <c r="E157" s="3">
        <v>4.99</v>
      </c>
      <c r="F157" s="19">
        <v>201</v>
      </c>
      <c r="G157" s="3">
        <v>2.25</v>
      </c>
      <c r="H157" t="e" vm="9">
        <v>#VALUE!</v>
      </c>
      <c r="I157" t="e" cm="1" vm="10">
        <f t="array" ref="I157">_FV(H157,"Country/region",TRUE)</f>
        <v>#VALUE!</v>
      </c>
      <c r="J157" t="s">
        <v>10</v>
      </c>
      <c r="K157" t="s">
        <v>11</v>
      </c>
      <c r="L157" t="s">
        <v>24</v>
      </c>
      <c r="M157">
        <f>Table1[[#This Row],[Price]]*Table1[[#This Row],[Quantity]]</f>
        <v>1002.99</v>
      </c>
    </row>
    <row r="158" spans="2:13" x14ac:dyDescent="0.3">
      <c r="B158" s="3">
        <v>10615</v>
      </c>
      <c r="C158" s="4">
        <v>44905</v>
      </c>
      <c r="D158" t="s">
        <v>15</v>
      </c>
      <c r="E158" s="3">
        <v>12.99</v>
      </c>
      <c r="F158" s="19">
        <v>570</v>
      </c>
      <c r="G158" s="3">
        <v>4.32</v>
      </c>
      <c r="H158" t="e" vm="9">
        <v>#VALUE!</v>
      </c>
      <c r="I158" t="e" cm="1" vm="10">
        <f t="array" ref="I158">_FV(H158,"Country/region",TRUE)</f>
        <v>#VALUE!</v>
      </c>
      <c r="J158" t="s">
        <v>10</v>
      </c>
      <c r="K158" t="s">
        <v>11</v>
      </c>
      <c r="L158" t="s">
        <v>24</v>
      </c>
      <c r="M158">
        <f>Table1[[#This Row],[Price]]*Table1[[#This Row],[Quantity]]</f>
        <v>7404.3</v>
      </c>
    </row>
    <row r="159" spans="2:13" x14ac:dyDescent="0.3">
      <c r="B159" s="3">
        <v>10616</v>
      </c>
      <c r="C159" s="4">
        <v>44905</v>
      </c>
      <c r="D159" t="s">
        <v>18</v>
      </c>
      <c r="E159" s="3">
        <v>9.9499999999999993</v>
      </c>
      <c r="F159" s="19">
        <v>202</v>
      </c>
      <c r="G159" s="3">
        <v>2.85</v>
      </c>
      <c r="H159" t="e" vm="9">
        <v>#VALUE!</v>
      </c>
      <c r="I159" t="e" cm="1" vm="10">
        <f t="array" ref="I159">_FV(H159,"Country/region",TRUE)</f>
        <v>#VALUE!</v>
      </c>
      <c r="J159" t="s">
        <v>10</v>
      </c>
      <c r="K159" t="s">
        <v>11</v>
      </c>
      <c r="L159" t="s">
        <v>24</v>
      </c>
      <c r="M159">
        <f>Table1[[#This Row],[Price]]*Table1[[#This Row],[Quantity]]</f>
        <v>2009.8999999999999</v>
      </c>
    </row>
    <row r="160" spans="2:13" x14ac:dyDescent="0.3">
      <c r="B160" s="3">
        <v>10617</v>
      </c>
      <c r="C160" s="4">
        <v>44905</v>
      </c>
      <c r="D160" t="s">
        <v>9</v>
      </c>
      <c r="E160" s="3">
        <v>3.49</v>
      </c>
      <c r="F160" s="19">
        <v>631</v>
      </c>
      <c r="G160" s="3">
        <v>0.88</v>
      </c>
      <c r="H160" t="e" vm="9">
        <v>#VALUE!</v>
      </c>
      <c r="I160" t="e" cm="1" vm="10">
        <f t="array" ref="I160">_FV(H160,"Country/region",TRUE)</f>
        <v>#VALUE!</v>
      </c>
      <c r="J160" t="s">
        <v>10</v>
      </c>
      <c r="K160" t="s">
        <v>11</v>
      </c>
      <c r="L160" t="s">
        <v>24</v>
      </c>
      <c r="M160">
        <f>Table1[[#This Row],[Price]]*Table1[[#This Row],[Quantity]]</f>
        <v>2202.19</v>
      </c>
    </row>
    <row r="161" spans="2:13" x14ac:dyDescent="0.3">
      <c r="B161" s="3">
        <v>10618</v>
      </c>
      <c r="C161" s="4">
        <v>44905</v>
      </c>
      <c r="D161" t="s">
        <v>12</v>
      </c>
      <c r="E161" s="3">
        <v>2.95</v>
      </c>
      <c r="F161" s="19">
        <v>678</v>
      </c>
      <c r="G161" s="3">
        <v>0.47</v>
      </c>
      <c r="H161" t="e" vm="9">
        <v>#VALUE!</v>
      </c>
      <c r="I161" t="e" cm="1" vm="10">
        <f t="array" ref="I161">_FV(H161,"Country/region",TRUE)</f>
        <v>#VALUE!</v>
      </c>
      <c r="J161" t="s">
        <v>10</v>
      </c>
      <c r="K161" t="s">
        <v>11</v>
      </c>
      <c r="L161" t="s">
        <v>24</v>
      </c>
      <c r="M161">
        <f>Table1[[#This Row],[Price]]*Table1[[#This Row],[Quantity]]</f>
        <v>2000.1000000000001</v>
      </c>
    </row>
    <row r="162" spans="2:13" x14ac:dyDescent="0.3">
      <c r="B162" s="3">
        <v>10619</v>
      </c>
      <c r="C162" s="4">
        <v>44905</v>
      </c>
      <c r="D162" t="s">
        <v>13</v>
      </c>
      <c r="E162" s="3">
        <v>4.99</v>
      </c>
      <c r="F162" s="19">
        <v>201</v>
      </c>
      <c r="G162" s="3">
        <v>2.25</v>
      </c>
      <c r="H162" t="e" vm="9">
        <v>#VALUE!</v>
      </c>
      <c r="I162" t="e" cm="1" vm="10">
        <f t="array" ref="I162">_FV(H162,"Country/region",TRUE)</f>
        <v>#VALUE!</v>
      </c>
      <c r="J162" t="s">
        <v>10</v>
      </c>
      <c r="K162" t="s">
        <v>11</v>
      </c>
      <c r="L162" t="s">
        <v>24</v>
      </c>
      <c r="M162">
        <f>Table1[[#This Row],[Price]]*Table1[[#This Row],[Quantity]]</f>
        <v>1002.99</v>
      </c>
    </row>
    <row r="163" spans="2:13" x14ac:dyDescent="0.3">
      <c r="B163" s="3">
        <v>10620</v>
      </c>
      <c r="C163" s="4">
        <v>44906</v>
      </c>
      <c r="D163" t="s">
        <v>15</v>
      </c>
      <c r="E163" s="3">
        <v>12.99</v>
      </c>
      <c r="F163" s="19">
        <v>586</v>
      </c>
      <c r="G163" s="3">
        <v>4.32</v>
      </c>
      <c r="H163" t="e" vm="9">
        <v>#VALUE!</v>
      </c>
      <c r="I163" t="e" cm="1" vm="10">
        <f t="array" ref="I163">_FV(H163,"Country/region",TRUE)</f>
        <v>#VALUE!</v>
      </c>
      <c r="J163" t="s">
        <v>10</v>
      </c>
      <c r="K163" t="s">
        <v>11</v>
      </c>
      <c r="L163" t="s">
        <v>24</v>
      </c>
      <c r="M163">
        <f>Table1[[#This Row],[Price]]*Table1[[#This Row],[Quantity]]</f>
        <v>7612.14</v>
      </c>
    </row>
    <row r="164" spans="2:13" x14ac:dyDescent="0.3">
      <c r="B164" s="3">
        <v>10621</v>
      </c>
      <c r="C164" s="4">
        <v>44906</v>
      </c>
      <c r="D164" t="s">
        <v>18</v>
      </c>
      <c r="E164" s="3">
        <v>9.9499999999999993</v>
      </c>
      <c r="F164" s="19">
        <v>202</v>
      </c>
      <c r="G164" s="3">
        <v>2.85</v>
      </c>
      <c r="H164" t="e" vm="9">
        <v>#VALUE!</v>
      </c>
      <c r="I164" t="e" cm="1" vm="10">
        <f t="array" ref="I164">_FV(H164,"Country/region",TRUE)</f>
        <v>#VALUE!</v>
      </c>
      <c r="J164" t="s">
        <v>10</v>
      </c>
      <c r="K164" t="s">
        <v>11</v>
      </c>
      <c r="L164" t="s">
        <v>24</v>
      </c>
      <c r="M164">
        <f>Table1[[#This Row],[Price]]*Table1[[#This Row],[Quantity]]</f>
        <v>2009.8999999999999</v>
      </c>
    </row>
    <row r="165" spans="2:13" x14ac:dyDescent="0.3">
      <c r="B165" s="3">
        <v>10622</v>
      </c>
      <c r="C165" s="4">
        <v>44906</v>
      </c>
      <c r="D165" t="s">
        <v>9</v>
      </c>
      <c r="E165" s="3">
        <v>3.49</v>
      </c>
      <c r="F165" s="19">
        <v>631</v>
      </c>
      <c r="G165" s="3">
        <v>0.88</v>
      </c>
      <c r="H165" t="e" vm="9">
        <v>#VALUE!</v>
      </c>
      <c r="I165" t="e" cm="1" vm="10">
        <f t="array" ref="I165">_FV(H165,"Country/region",TRUE)</f>
        <v>#VALUE!</v>
      </c>
      <c r="J165" t="s">
        <v>10</v>
      </c>
      <c r="K165" t="s">
        <v>11</v>
      </c>
      <c r="L165" t="s">
        <v>24</v>
      </c>
      <c r="M165">
        <f>Table1[[#This Row],[Price]]*Table1[[#This Row],[Quantity]]</f>
        <v>2202.19</v>
      </c>
    </row>
    <row r="166" spans="2:13" x14ac:dyDescent="0.3">
      <c r="B166" s="3">
        <v>10623</v>
      </c>
      <c r="C166" s="4">
        <v>44906</v>
      </c>
      <c r="D166" t="s">
        <v>12</v>
      </c>
      <c r="E166" s="3">
        <v>2.95</v>
      </c>
      <c r="F166" s="19">
        <v>746</v>
      </c>
      <c r="G166" s="3">
        <v>0.47</v>
      </c>
      <c r="H166" t="e" vm="9">
        <v>#VALUE!</v>
      </c>
      <c r="I166" t="e" cm="1" vm="10">
        <f t="array" ref="I166">_FV(H166,"Country/region",TRUE)</f>
        <v>#VALUE!</v>
      </c>
      <c r="J166" t="s">
        <v>10</v>
      </c>
      <c r="K166" t="s">
        <v>11</v>
      </c>
      <c r="L166" t="s">
        <v>24</v>
      </c>
      <c r="M166">
        <f>Table1[[#This Row],[Price]]*Table1[[#This Row],[Quantity]]</f>
        <v>2200.7000000000003</v>
      </c>
    </row>
    <row r="167" spans="2:13" x14ac:dyDescent="0.3">
      <c r="B167" s="3">
        <v>10624</v>
      </c>
      <c r="C167" s="4">
        <v>44906</v>
      </c>
      <c r="D167" t="s">
        <v>13</v>
      </c>
      <c r="E167" s="3">
        <v>4.99</v>
      </c>
      <c r="F167" s="19">
        <v>201</v>
      </c>
      <c r="G167" s="3">
        <v>2.25</v>
      </c>
      <c r="H167" t="e" vm="9">
        <v>#VALUE!</v>
      </c>
      <c r="I167" t="e" cm="1" vm="10">
        <f t="array" ref="I167">_FV(H167,"Country/region",TRUE)</f>
        <v>#VALUE!</v>
      </c>
      <c r="J167" t="s">
        <v>10</v>
      </c>
      <c r="K167" t="s">
        <v>11</v>
      </c>
      <c r="L167" t="s">
        <v>24</v>
      </c>
      <c r="M167">
        <f>Table1[[#This Row],[Price]]*Table1[[#This Row],[Quantity]]</f>
        <v>1002.99</v>
      </c>
    </row>
    <row r="168" spans="2:13" x14ac:dyDescent="0.3">
      <c r="B168" s="3">
        <v>10625</v>
      </c>
      <c r="C168" s="4">
        <v>44907</v>
      </c>
      <c r="D168" t="s">
        <v>15</v>
      </c>
      <c r="E168" s="3">
        <v>12.99</v>
      </c>
      <c r="F168" s="19">
        <v>570</v>
      </c>
      <c r="G168" s="3">
        <v>4.32</v>
      </c>
      <c r="H168" t="e" vm="9">
        <v>#VALUE!</v>
      </c>
      <c r="I168" t="e" cm="1" vm="10">
        <f t="array" ref="I168">_FV(H168,"Country/region",TRUE)</f>
        <v>#VALUE!</v>
      </c>
      <c r="J168" t="s">
        <v>10</v>
      </c>
      <c r="K168" t="s">
        <v>11</v>
      </c>
      <c r="L168" t="s">
        <v>24</v>
      </c>
      <c r="M168">
        <f>Table1[[#This Row],[Price]]*Table1[[#This Row],[Quantity]]</f>
        <v>7404.3</v>
      </c>
    </row>
    <row r="169" spans="2:13" x14ac:dyDescent="0.3">
      <c r="B169" s="3">
        <v>10626</v>
      </c>
      <c r="C169" s="4">
        <v>44907</v>
      </c>
      <c r="D169" t="s">
        <v>18</v>
      </c>
      <c r="E169" s="3">
        <v>9.9499999999999993</v>
      </c>
      <c r="F169" s="19">
        <v>202</v>
      </c>
      <c r="G169" s="3">
        <v>2.85</v>
      </c>
      <c r="H169" t="e" vm="9">
        <v>#VALUE!</v>
      </c>
      <c r="I169" t="e" cm="1" vm="10">
        <f t="array" ref="I169">_FV(H169,"Country/region",TRUE)</f>
        <v>#VALUE!</v>
      </c>
      <c r="J169" t="s">
        <v>10</v>
      </c>
      <c r="K169" t="s">
        <v>11</v>
      </c>
      <c r="L169" t="s">
        <v>24</v>
      </c>
      <c r="M169">
        <f>Table1[[#This Row],[Price]]*Table1[[#This Row],[Quantity]]</f>
        <v>2009.8999999999999</v>
      </c>
    </row>
    <row r="170" spans="2:13" x14ac:dyDescent="0.3">
      <c r="B170" s="3">
        <v>10627</v>
      </c>
      <c r="C170" s="4">
        <v>44907</v>
      </c>
      <c r="D170" t="s">
        <v>9</v>
      </c>
      <c r="E170" s="3">
        <v>3.49</v>
      </c>
      <c r="F170" s="19">
        <v>631</v>
      </c>
      <c r="G170" s="3">
        <v>0.88</v>
      </c>
      <c r="H170" t="e" vm="9">
        <v>#VALUE!</v>
      </c>
      <c r="I170" t="e" cm="1" vm="10">
        <f t="array" ref="I170">_FV(H170,"Country/region",TRUE)</f>
        <v>#VALUE!</v>
      </c>
      <c r="J170" t="s">
        <v>10</v>
      </c>
      <c r="K170" t="s">
        <v>11</v>
      </c>
      <c r="L170" t="s">
        <v>24</v>
      </c>
      <c r="M170">
        <f>Table1[[#This Row],[Price]]*Table1[[#This Row],[Quantity]]</f>
        <v>2202.19</v>
      </c>
    </row>
    <row r="171" spans="2:13" x14ac:dyDescent="0.3">
      <c r="B171" s="3">
        <v>10628</v>
      </c>
      <c r="C171" s="4">
        <v>44907</v>
      </c>
      <c r="D171" t="s">
        <v>12</v>
      </c>
      <c r="E171" s="3">
        <v>2.95</v>
      </c>
      <c r="F171" s="19">
        <v>678</v>
      </c>
      <c r="G171" s="3">
        <v>0.47</v>
      </c>
      <c r="H171" s="5" t="e" vm="13">
        <v>#VALUE!</v>
      </c>
      <c r="I171" t="e" cm="1" vm="14">
        <f t="array" ref="I171">_FV(H171,"Country/region",TRUE)</f>
        <v>#VALUE!</v>
      </c>
      <c r="J171" t="s">
        <v>10</v>
      </c>
      <c r="K171" t="s">
        <v>11</v>
      </c>
      <c r="L171" t="s">
        <v>21</v>
      </c>
      <c r="M171">
        <f>Table1[[#This Row],[Price]]*Table1[[#This Row],[Quantity]]</f>
        <v>2000.1000000000001</v>
      </c>
    </row>
    <row r="172" spans="2:13" x14ac:dyDescent="0.3">
      <c r="B172" s="3">
        <v>10629</v>
      </c>
      <c r="C172" s="4">
        <v>44907</v>
      </c>
      <c r="D172" t="s">
        <v>13</v>
      </c>
      <c r="E172" s="3">
        <v>4.99</v>
      </c>
      <c r="F172" s="19">
        <v>201</v>
      </c>
      <c r="G172" s="3">
        <v>2.25</v>
      </c>
      <c r="H172" s="5" t="e" vm="13">
        <v>#VALUE!</v>
      </c>
      <c r="I172" t="e" cm="1" vm="14">
        <f t="array" ref="I172">_FV(H172,"Country/region",TRUE)</f>
        <v>#VALUE!</v>
      </c>
      <c r="J172" t="s">
        <v>10</v>
      </c>
      <c r="K172" t="s">
        <v>11</v>
      </c>
      <c r="L172" t="s">
        <v>21</v>
      </c>
      <c r="M172">
        <f>Table1[[#This Row],[Price]]*Table1[[#This Row],[Quantity]]</f>
        <v>1002.99</v>
      </c>
    </row>
    <row r="173" spans="2:13" x14ac:dyDescent="0.3">
      <c r="B173" s="3">
        <v>10630</v>
      </c>
      <c r="C173" s="4">
        <v>44908</v>
      </c>
      <c r="D173" t="s">
        <v>15</v>
      </c>
      <c r="E173" s="3">
        <v>12.99</v>
      </c>
      <c r="F173" s="19">
        <v>570</v>
      </c>
      <c r="G173" s="3">
        <v>4.32</v>
      </c>
      <c r="H173" s="5" t="e" vm="13">
        <v>#VALUE!</v>
      </c>
      <c r="I173" t="e" cm="1" vm="14">
        <f t="array" ref="I173">_FV(H173,"Country/region",TRUE)</f>
        <v>#VALUE!</v>
      </c>
      <c r="J173" t="s">
        <v>10</v>
      </c>
      <c r="K173" t="s">
        <v>23</v>
      </c>
      <c r="L173" t="s">
        <v>21</v>
      </c>
      <c r="M173">
        <f>Table1[[#This Row],[Price]]*Table1[[#This Row],[Quantity]]</f>
        <v>7404.3</v>
      </c>
    </row>
    <row r="174" spans="2:13" x14ac:dyDescent="0.3">
      <c r="B174" s="3">
        <v>10631</v>
      </c>
      <c r="C174" s="4">
        <v>44908</v>
      </c>
      <c r="D174" t="s">
        <v>18</v>
      </c>
      <c r="E174" s="3">
        <v>9.9499999999999993</v>
      </c>
      <c r="F174" s="19">
        <v>202</v>
      </c>
      <c r="G174" s="3">
        <v>2.85</v>
      </c>
      <c r="H174" s="5" t="e" vm="13">
        <v>#VALUE!</v>
      </c>
      <c r="I174" t="e" cm="1" vm="14">
        <f t="array" ref="I174">_FV(H174,"Country/region",TRUE)</f>
        <v>#VALUE!</v>
      </c>
      <c r="J174" t="s">
        <v>10</v>
      </c>
      <c r="K174" t="s">
        <v>11</v>
      </c>
      <c r="L174" t="s">
        <v>21</v>
      </c>
      <c r="M174">
        <f>Table1[[#This Row],[Price]]*Table1[[#This Row],[Quantity]]</f>
        <v>2009.8999999999999</v>
      </c>
    </row>
    <row r="175" spans="2:13" x14ac:dyDescent="0.3">
      <c r="B175" s="3">
        <v>10632</v>
      </c>
      <c r="C175" s="4">
        <v>44908</v>
      </c>
      <c r="D175" t="s">
        <v>9</v>
      </c>
      <c r="E175" s="3">
        <v>3.49</v>
      </c>
      <c r="F175" s="19">
        <v>631</v>
      </c>
      <c r="G175" s="3">
        <v>0.88</v>
      </c>
      <c r="H175" s="5" t="e" vm="13">
        <v>#VALUE!</v>
      </c>
      <c r="I175" t="e" cm="1" vm="14">
        <f t="array" ref="I175">_FV(H175,"Country/region",TRUE)</f>
        <v>#VALUE!</v>
      </c>
      <c r="J175" t="s">
        <v>10</v>
      </c>
      <c r="K175" t="s">
        <v>11</v>
      </c>
      <c r="L175" t="s">
        <v>21</v>
      </c>
      <c r="M175">
        <f>Table1[[#This Row],[Price]]*Table1[[#This Row],[Quantity]]</f>
        <v>2202.19</v>
      </c>
    </row>
    <row r="176" spans="2:13" x14ac:dyDescent="0.3">
      <c r="B176" s="3">
        <v>10633</v>
      </c>
      <c r="C176" s="4">
        <v>44908</v>
      </c>
      <c r="D176" t="s">
        <v>12</v>
      </c>
      <c r="E176" s="3">
        <v>2.95</v>
      </c>
      <c r="F176" s="19">
        <v>678</v>
      </c>
      <c r="G176" s="3">
        <v>0.47</v>
      </c>
      <c r="H176" s="5" t="e" vm="13">
        <v>#VALUE!</v>
      </c>
      <c r="I176" t="e" cm="1" vm="14">
        <f t="array" ref="I176">_FV(H176,"Country/region",TRUE)</f>
        <v>#VALUE!</v>
      </c>
      <c r="J176" t="s">
        <v>10</v>
      </c>
      <c r="K176" t="s">
        <v>11</v>
      </c>
      <c r="L176" t="s">
        <v>21</v>
      </c>
      <c r="M176">
        <f>Table1[[#This Row],[Price]]*Table1[[#This Row],[Quantity]]</f>
        <v>2000.1000000000001</v>
      </c>
    </row>
    <row r="177" spans="2:13" x14ac:dyDescent="0.3">
      <c r="B177" s="3">
        <v>10634</v>
      </c>
      <c r="C177" s="4">
        <v>44908</v>
      </c>
      <c r="D177" t="s">
        <v>13</v>
      </c>
      <c r="E177" s="3">
        <v>4.99</v>
      </c>
      <c r="F177" s="19">
        <v>201</v>
      </c>
      <c r="G177" s="3">
        <v>2.25</v>
      </c>
      <c r="H177" s="5" t="e" vm="13">
        <v>#VALUE!</v>
      </c>
      <c r="I177" t="e" cm="1" vm="14">
        <f t="array" ref="I177">_FV(H177,"Country/region",TRUE)</f>
        <v>#VALUE!</v>
      </c>
      <c r="J177" t="s">
        <v>10</v>
      </c>
      <c r="K177" t="s">
        <v>11</v>
      </c>
      <c r="L177" t="s">
        <v>21</v>
      </c>
      <c r="M177">
        <f>Table1[[#This Row],[Price]]*Table1[[#This Row],[Quantity]]</f>
        <v>1002.99</v>
      </c>
    </row>
    <row r="178" spans="2:13" x14ac:dyDescent="0.3">
      <c r="B178" s="3">
        <v>10635</v>
      </c>
      <c r="C178" s="4">
        <v>44909</v>
      </c>
      <c r="D178" t="s">
        <v>15</v>
      </c>
      <c r="E178" s="3">
        <v>12.99</v>
      </c>
      <c r="F178" s="19">
        <v>555</v>
      </c>
      <c r="G178" s="3">
        <v>4.32</v>
      </c>
      <c r="H178" s="5" t="e" vm="13">
        <v>#VALUE!</v>
      </c>
      <c r="I178" t="e" cm="1" vm="14">
        <f t="array" ref="I178">_FV(H178,"Country/region",TRUE)</f>
        <v>#VALUE!</v>
      </c>
      <c r="J178" t="s">
        <v>10</v>
      </c>
      <c r="K178" t="s">
        <v>11</v>
      </c>
      <c r="L178" t="s">
        <v>21</v>
      </c>
      <c r="M178">
        <f>Table1[[#This Row],[Price]]*Table1[[#This Row],[Quantity]]</f>
        <v>7209.45</v>
      </c>
    </row>
    <row r="179" spans="2:13" x14ac:dyDescent="0.3">
      <c r="B179" s="3">
        <v>10636</v>
      </c>
      <c r="C179" s="4">
        <v>44909</v>
      </c>
      <c r="D179" t="s">
        <v>18</v>
      </c>
      <c r="E179" s="3">
        <v>9.9499999999999993</v>
      </c>
      <c r="F179" s="19">
        <v>222</v>
      </c>
      <c r="G179" s="3">
        <v>2.85</v>
      </c>
      <c r="H179" s="5" t="e" vm="13">
        <v>#VALUE!</v>
      </c>
      <c r="I179" t="e" cm="1" vm="14">
        <f t="array" ref="I179">_FV(H179,"Country/region",TRUE)</f>
        <v>#VALUE!</v>
      </c>
      <c r="J179" t="s">
        <v>10</v>
      </c>
      <c r="K179" t="s">
        <v>11</v>
      </c>
      <c r="L179" t="s">
        <v>21</v>
      </c>
      <c r="M179">
        <f>Table1[[#This Row],[Price]]*Table1[[#This Row],[Quantity]]</f>
        <v>2208.8999999999996</v>
      </c>
    </row>
    <row r="180" spans="2:13" x14ac:dyDescent="0.3">
      <c r="B180" s="3">
        <v>10637</v>
      </c>
      <c r="C180" s="4">
        <v>44909</v>
      </c>
      <c r="D180" t="s">
        <v>9</v>
      </c>
      <c r="E180" s="3">
        <v>3.49</v>
      </c>
      <c r="F180" s="19">
        <v>631</v>
      </c>
      <c r="G180" s="3">
        <v>0.88</v>
      </c>
      <c r="H180" s="5" t="e" vm="13">
        <v>#VALUE!</v>
      </c>
      <c r="I180" t="e" cm="1" vm="14">
        <f t="array" ref="I180">_FV(H180,"Country/region",TRUE)</f>
        <v>#VALUE!</v>
      </c>
      <c r="J180" t="s">
        <v>10</v>
      </c>
      <c r="K180" t="s">
        <v>11</v>
      </c>
      <c r="L180" t="s">
        <v>21</v>
      </c>
      <c r="M180">
        <f>Table1[[#This Row],[Price]]*Table1[[#This Row],[Quantity]]</f>
        <v>2202.19</v>
      </c>
    </row>
    <row r="181" spans="2:13" x14ac:dyDescent="0.3">
      <c r="B181" s="3">
        <v>10638</v>
      </c>
      <c r="C181" s="4">
        <v>44909</v>
      </c>
      <c r="D181" t="s">
        <v>12</v>
      </c>
      <c r="E181" s="3">
        <v>2.95</v>
      </c>
      <c r="F181" s="19">
        <v>678</v>
      </c>
      <c r="G181" s="3">
        <v>0.47</v>
      </c>
      <c r="H181" s="5" t="e" vm="13">
        <v>#VALUE!</v>
      </c>
      <c r="I181" t="e" cm="1" vm="14">
        <f t="array" ref="I181">_FV(H181,"Country/region",TRUE)</f>
        <v>#VALUE!</v>
      </c>
      <c r="J181" t="s">
        <v>10</v>
      </c>
      <c r="K181" t="s">
        <v>11</v>
      </c>
      <c r="L181" t="s">
        <v>21</v>
      </c>
      <c r="M181">
        <f>Table1[[#This Row],[Price]]*Table1[[#This Row],[Quantity]]</f>
        <v>2000.1000000000001</v>
      </c>
    </row>
    <row r="182" spans="2:13" x14ac:dyDescent="0.3">
      <c r="B182" s="3">
        <v>10639</v>
      </c>
      <c r="C182" s="4">
        <v>44909</v>
      </c>
      <c r="D182" t="s">
        <v>13</v>
      </c>
      <c r="E182" s="3">
        <v>4.99</v>
      </c>
      <c r="F182" s="19">
        <v>201</v>
      </c>
      <c r="G182" s="3">
        <v>2.25</v>
      </c>
      <c r="H182" s="5" t="e" vm="13">
        <v>#VALUE!</v>
      </c>
      <c r="I182" t="e" cm="1" vm="14">
        <f t="array" ref="I182">_FV(H182,"Country/region",TRUE)</f>
        <v>#VALUE!</v>
      </c>
      <c r="J182" t="s">
        <v>10</v>
      </c>
      <c r="K182" t="s">
        <v>11</v>
      </c>
      <c r="L182" t="s">
        <v>21</v>
      </c>
      <c r="M182">
        <f>Table1[[#This Row],[Price]]*Table1[[#This Row],[Quantity]]</f>
        <v>1002.99</v>
      </c>
    </row>
    <row r="183" spans="2:13" x14ac:dyDescent="0.3">
      <c r="B183" s="3">
        <v>10640</v>
      </c>
      <c r="C183" s="4">
        <v>44910</v>
      </c>
      <c r="D183" t="s">
        <v>15</v>
      </c>
      <c r="E183" s="3">
        <v>12.99</v>
      </c>
      <c r="F183" s="19">
        <v>539</v>
      </c>
      <c r="G183" s="3">
        <v>4.32</v>
      </c>
      <c r="H183" s="5" t="e" vm="13">
        <v>#VALUE!</v>
      </c>
      <c r="I183" t="e" cm="1" vm="14">
        <f t="array" ref="I183">_FV(H183,"Country/region",TRUE)</f>
        <v>#VALUE!</v>
      </c>
      <c r="J183" t="s">
        <v>10</v>
      </c>
      <c r="K183" t="s">
        <v>11</v>
      </c>
      <c r="L183" t="s">
        <v>21</v>
      </c>
      <c r="M183">
        <f>Table1[[#This Row],[Price]]*Table1[[#This Row],[Quantity]]</f>
        <v>7001.61</v>
      </c>
    </row>
    <row r="184" spans="2:13" x14ac:dyDescent="0.3">
      <c r="B184" s="3">
        <v>10641</v>
      </c>
      <c r="C184" s="4">
        <v>44910</v>
      </c>
      <c r="D184" t="s">
        <v>18</v>
      </c>
      <c r="E184" s="3">
        <v>9.9499999999999993</v>
      </c>
      <c r="F184" s="19">
        <v>222</v>
      </c>
      <c r="G184" s="3">
        <v>2.85</v>
      </c>
      <c r="H184" s="5" t="e" vm="13">
        <v>#VALUE!</v>
      </c>
      <c r="I184" t="e" cm="1" vm="14">
        <f t="array" ref="I184">_FV(H184,"Country/region",TRUE)</f>
        <v>#VALUE!</v>
      </c>
      <c r="J184" t="s">
        <v>10</v>
      </c>
      <c r="K184" t="s">
        <v>11</v>
      </c>
      <c r="L184" t="s">
        <v>21</v>
      </c>
      <c r="M184">
        <f>Table1[[#This Row],[Price]]*Table1[[#This Row],[Quantity]]</f>
        <v>2208.8999999999996</v>
      </c>
    </row>
    <row r="185" spans="2:13" x14ac:dyDescent="0.3">
      <c r="B185" s="3">
        <v>10642</v>
      </c>
      <c r="C185" s="4">
        <v>44910</v>
      </c>
      <c r="D185" t="s">
        <v>9</v>
      </c>
      <c r="E185" s="3">
        <v>3.49</v>
      </c>
      <c r="F185" s="19">
        <v>631</v>
      </c>
      <c r="G185" s="3">
        <v>0.88</v>
      </c>
      <c r="H185" s="5" t="e" vm="13">
        <v>#VALUE!</v>
      </c>
      <c r="I185" t="e" cm="1" vm="14">
        <f t="array" ref="I185">_FV(H185,"Country/region",TRUE)</f>
        <v>#VALUE!</v>
      </c>
      <c r="J185" t="s">
        <v>10</v>
      </c>
      <c r="K185" t="s">
        <v>23</v>
      </c>
      <c r="L185" t="s">
        <v>21</v>
      </c>
      <c r="M185">
        <f>Table1[[#This Row],[Price]]*Table1[[#This Row],[Quantity]]</f>
        <v>2202.19</v>
      </c>
    </row>
    <row r="186" spans="2:13" x14ac:dyDescent="0.3">
      <c r="B186" s="3">
        <v>10643</v>
      </c>
      <c r="C186" s="4">
        <v>44910</v>
      </c>
      <c r="D186" t="s">
        <v>12</v>
      </c>
      <c r="E186" s="3">
        <v>2.95</v>
      </c>
      <c r="F186" s="19">
        <v>678</v>
      </c>
      <c r="G186" s="3">
        <v>0.47</v>
      </c>
      <c r="H186" s="5" t="e" vm="13">
        <v>#VALUE!</v>
      </c>
      <c r="I186" t="e" cm="1" vm="14">
        <f t="array" ref="I186">_FV(H186,"Country/region",TRUE)</f>
        <v>#VALUE!</v>
      </c>
      <c r="J186" t="s">
        <v>10</v>
      </c>
      <c r="K186" t="s">
        <v>23</v>
      </c>
      <c r="L186" t="s">
        <v>21</v>
      </c>
      <c r="M186">
        <f>Table1[[#This Row],[Price]]*Table1[[#This Row],[Quantity]]</f>
        <v>2000.1000000000001</v>
      </c>
    </row>
    <row r="187" spans="2:13" x14ac:dyDescent="0.3">
      <c r="B187" s="3">
        <v>10644</v>
      </c>
      <c r="C187" s="4">
        <v>44910</v>
      </c>
      <c r="D187" t="s">
        <v>13</v>
      </c>
      <c r="E187" s="3">
        <v>4.99</v>
      </c>
      <c r="F187" s="19">
        <v>201</v>
      </c>
      <c r="G187" s="3">
        <v>2.25</v>
      </c>
      <c r="H187" s="5" t="e" vm="13">
        <v>#VALUE!</v>
      </c>
      <c r="I187" t="e" cm="1" vm="14">
        <f t="array" ref="I187">_FV(H187,"Country/region",TRUE)</f>
        <v>#VALUE!</v>
      </c>
      <c r="J187" t="s">
        <v>10</v>
      </c>
      <c r="K187" t="s">
        <v>23</v>
      </c>
      <c r="L187" t="s">
        <v>21</v>
      </c>
      <c r="M187">
        <f>Table1[[#This Row],[Price]]*Table1[[#This Row],[Quantity]]</f>
        <v>1002.99</v>
      </c>
    </row>
    <row r="188" spans="2:13" x14ac:dyDescent="0.3">
      <c r="B188" s="3">
        <v>10645</v>
      </c>
      <c r="C188" s="4">
        <v>44911</v>
      </c>
      <c r="D188" t="s">
        <v>15</v>
      </c>
      <c r="E188" s="3">
        <v>12.99</v>
      </c>
      <c r="F188" s="19">
        <v>570</v>
      </c>
      <c r="G188" s="3">
        <v>4.32</v>
      </c>
      <c r="H188" s="5" t="e" vm="13">
        <v>#VALUE!</v>
      </c>
      <c r="I188" t="e" cm="1" vm="14">
        <f t="array" ref="I188">_FV(H188,"Country/region",TRUE)</f>
        <v>#VALUE!</v>
      </c>
      <c r="J188" t="s">
        <v>10</v>
      </c>
      <c r="K188" t="s">
        <v>23</v>
      </c>
      <c r="L188" t="s">
        <v>21</v>
      </c>
      <c r="M188">
        <f>Table1[[#This Row],[Price]]*Table1[[#This Row],[Quantity]]</f>
        <v>7404.3</v>
      </c>
    </row>
    <row r="189" spans="2:13" x14ac:dyDescent="0.3">
      <c r="B189" s="3">
        <v>10646</v>
      </c>
      <c r="C189" s="4">
        <v>44911</v>
      </c>
      <c r="D189" t="s">
        <v>18</v>
      </c>
      <c r="E189" s="3">
        <v>9.9499999999999993</v>
      </c>
      <c r="F189" s="19">
        <v>222</v>
      </c>
      <c r="G189" s="3">
        <v>2.85</v>
      </c>
      <c r="H189" s="5" t="e" vm="13">
        <v>#VALUE!</v>
      </c>
      <c r="I189" t="e" cm="1" vm="14">
        <f t="array" ref="I189">_FV(H189,"Country/region",TRUE)</f>
        <v>#VALUE!</v>
      </c>
      <c r="J189" t="s">
        <v>10</v>
      </c>
      <c r="K189" t="s">
        <v>23</v>
      </c>
      <c r="L189" t="s">
        <v>21</v>
      </c>
      <c r="M189">
        <f>Table1[[#This Row],[Price]]*Table1[[#This Row],[Quantity]]</f>
        <v>2208.8999999999996</v>
      </c>
    </row>
    <row r="190" spans="2:13" x14ac:dyDescent="0.3">
      <c r="B190" s="3">
        <v>10647</v>
      </c>
      <c r="C190" s="4">
        <v>44911</v>
      </c>
      <c r="D190" t="s">
        <v>9</v>
      </c>
      <c r="E190" s="3">
        <v>3.49</v>
      </c>
      <c r="F190" s="19">
        <v>631</v>
      </c>
      <c r="G190" s="3">
        <v>0.88</v>
      </c>
      <c r="H190" s="5" t="e" vm="13">
        <v>#VALUE!</v>
      </c>
      <c r="I190" t="e" cm="1" vm="14">
        <f t="array" ref="I190">_FV(H190,"Country/region",TRUE)</f>
        <v>#VALUE!</v>
      </c>
      <c r="J190" t="s">
        <v>10</v>
      </c>
      <c r="K190" t="s">
        <v>11</v>
      </c>
      <c r="L190" t="s">
        <v>21</v>
      </c>
      <c r="M190">
        <f>Table1[[#This Row],[Price]]*Table1[[#This Row],[Quantity]]</f>
        <v>2202.19</v>
      </c>
    </row>
    <row r="191" spans="2:13" x14ac:dyDescent="0.3">
      <c r="B191" s="3">
        <v>10648</v>
      </c>
      <c r="C191" s="4">
        <v>44911</v>
      </c>
      <c r="D191" t="s">
        <v>12</v>
      </c>
      <c r="E191" s="3">
        <v>2.95</v>
      </c>
      <c r="F191" s="19">
        <v>746</v>
      </c>
      <c r="G191" s="3">
        <v>0.47</v>
      </c>
      <c r="H191" s="5" t="e" vm="13">
        <v>#VALUE!</v>
      </c>
      <c r="I191" t="e" cm="1" vm="14">
        <f t="array" ref="I191">_FV(H191,"Country/region",TRUE)</f>
        <v>#VALUE!</v>
      </c>
      <c r="J191" t="s">
        <v>10</v>
      </c>
      <c r="K191" t="s">
        <v>11</v>
      </c>
      <c r="L191" t="s">
        <v>21</v>
      </c>
      <c r="M191">
        <f>Table1[[#This Row],[Price]]*Table1[[#This Row],[Quantity]]</f>
        <v>2200.7000000000003</v>
      </c>
    </row>
    <row r="192" spans="2:13" x14ac:dyDescent="0.3">
      <c r="B192" s="3">
        <v>10649</v>
      </c>
      <c r="C192" s="4">
        <v>44911</v>
      </c>
      <c r="D192" t="s">
        <v>13</v>
      </c>
      <c r="E192" s="3">
        <v>4.99</v>
      </c>
      <c r="F192" s="19">
        <v>201</v>
      </c>
      <c r="G192" s="3">
        <v>2.25</v>
      </c>
      <c r="H192" s="5" t="e" vm="13">
        <v>#VALUE!</v>
      </c>
      <c r="I192" t="e" cm="1" vm="14">
        <f t="array" ref="I192">_FV(H192,"Country/region",TRUE)</f>
        <v>#VALUE!</v>
      </c>
      <c r="J192" t="s">
        <v>10</v>
      </c>
      <c r="K192" t="s">
        <v>11</v>
      </c>
      <c r="L192" t="s">
        <v>21</v>
      </c>
      <c r="M192">
        <f>Table1[[#This Row],[Price]]*Table1[[#This Row],[Quantity]]</f>
        <v>1002.99</v>
      </c>
    </row>
    <row r="193" spans="2:13" x14ac:dyDescent="0.3">
      <c r="B193" s="3">
        <v>10650</v>
      </c>
      <c r="C193" s="4">
        <v>44912</v>
      </c>
      <c r="D193" t="s">
        <v>15</v>
      </c>
      <c r="E193" s="3">
        <v>12.99</v>
      </c>
      <c r="F193" s="19">
        <v>586</v>
      </c>
      <c r="G193" s="3">
        <v>4.32</v>
      </c>
      <c r="H193" s="5" t="e" vm="13">
        <v>#VALUE!</v>
      </c>
      <c r="I193" t="e" cm="1" vm="14">
        <f t="array" ref="I193">_FV(H193,"Country/region",TRUE)</f>
        <v>#VALUE!</v>
      </c>
      <c r="J193" t="s">
        <v>10</v>
      </c>
      <c r="K193" t="s">
        <v>11</v>
      </c>
      <c r="L193" t="s">
        <v>21</v>
      </c>
      <c r="M193">
        <f>Table1[[#This Row],[Price]]*Table1[[#This Row],[Quantity]]</f>
        <v>7612.14</v>
      </c>
    </row>
    <row r="194" spans="2:13" x14ac:dyDescent="0.3">
      <c r="B194" s="3">
        <v>10651</v>
      </c>
      <c r="C194" s="4">
        <v>44912</v>
      </c>
      <c r="D194" t="s">
        <v>18</v>
      </c>
      <c r="E194" s="3">
        <v>9.9499999999999993</v>
      </c>
      <c r="F194" s="19">
        <v>222</v>
      </c>
      <c r="G194" s="3">
        <v>2.85</v>
      </c>
      <c r="H194" s="5" t="e" vm="13">
        <v>#VALUE!</v>
      </c>
      <c r="I194" t="e" cm="1" vm="14">
        <f t="array" ref="I194">_FV(H194,"Country/region",TRUE)</f>
        <v>#VALUE!</v>
      </c>
      <c r="J194" t="s">
        <v>10</v>
      </c>
      <c r="K194" t="s">
        <v>11</v>
      </c>
      <c r="L194" t="s">
        <v>21</v>
      </c>
      <c r="M194">
        <f>Table1[[#This Row],[Price]]*Table1[[#This Row],[Quantity]]</f>
        <v>2208.8999999999996</v>
      </c>
    </row>
    <row r="195" spans="2:13" x14ac:dyDescent="0.3">
      <c r="B195" s="3">
        <v>10652</v>
      </c>
      <c r="C195" s="4">
        <v>44912</v>
      </c>
      <c r="D195" t="s">
        <v>9</v>
      </c>
      <c r="E195" s="3">
        <v>3.49</v>
      </c>
      <c r="F195" s="19">
        <v>688</v>
      </c>
      <c r="G195" s="3">
        <v>0.88</v>
      </c>
      <c r="H195" s="5" t="e" vm="13">
        <v>#VALUE!</v>
      </c>
      <c r="I195" t="e" cm="1" vm="14">
        <f t="array" ref="I195">_FV(H195,"Country/region",TRUE)</f>
        <v>#VALUE!</v>
      </c>
      <c r="J195" t="s">
        <v>10</v>
      </c>
      <c r="K195" t="s">
        <v>11</v>
      </c>
      <c r="L195" t="s">
        <v>21</v>
      </c>
      <c r="M195">
        <f>Table1[[#This Row],[Price]]*Table1[[#This Row],[Quantity]]</f>
        <v>2401.1200000000003</v>
      </c>
    </row>
    <row r="196" spans="2:13" x14ac:dyDescent="0.3">
      <c r="B196" s="3">
        <v>10653</v>
      </c>
      <c r="C196" s="4">
        <v>44912</v>
      </c>
      <c r="D196" t="s">
        <v>12</v>
      </c>
      <c r="E196" s="3">
        <v>2.95</v>
      </c>
      <c r="F196" s="19">
        <v>746</v>
      </c>
      <c r="G196" s="3">
        <v>0.47</v>
      </c>
      <c r="H196" s="5" t="e" vm="13">
        <v>#VALUE!</v>
      </c>
      <c r="I196" t="e" cm="1" vm="14">
        <f t="array" ref="I196">_FV(H196,"Country/region",TRUE)</f>
        <v>#VALUE!</v>
      </c>
      <c r="J196" t="s">
        <v>10</v>
      </c>
      <c r="K196" t="s">
        <v>11</v>
      </c>
      <c r="L196" t="s">
        <v>21</v>
      </c>
      <c r="M196">
        <f>Table1[[#This Row],[Price]]*Table1[[#This Row],[Quantity]]</f>
        <v>2200.7000000000003</v>
      </c>
    </row>
    <row r="197" spans="2:13" x14ac:dyDescent="0.3">
      <c r="B197" s="3">
        <v>10654</v>
      </c>
      <c r="C197" s="4">
        <v>44912</v>
      </c>
      <c r="D197" t="s">
        <v>13</v>
      </c>
      <c r="E197" s="3">
        <v>4.99</v>
      </c>
      <c r="F197" s="19">
        <v>201</v>
      </c>
      <c r="G197" s="3">
        <v>2.25</v>
      </c>
      <c r="H197" s="5" t="e" vm="13">
        <v>#VALUE!</v>
      </c>
      <c r="I197" t="e" cm="1" vm="14">
        <f t="array" ref="I197">_FV(H197,"Country/region",TRUE)</f>
        <v>#VALUE!</v>
      </c>
      <c r="J197" t="s">
        <v>10</v>
      </c>
      <c r="K197" t="s">
        <v>11</v>
      </c>
      <c r="L197" t="s">
        <v>21</v>
      </c>
      <c r="M197">
        <f>Table1[[#This Row],[Price]]*Table1[[#This Row],[Quantity]]</f>
        <v>1002.99</v>
      </c>
    </row>
    <row r="198" spans="2:13" x14ac:dyDescent="0.3">
      <c r="B198" s="3">
        <v>10655</v>
      </c>
      <c r="C198" s="4">
        <v>44913</v>
      </c>
      <c r="D198" t="s">
        <v>15</v>
      </c>
      <c r="E198" s="3">
        <v>12.99</v>
      </c>
      <c r="F198" s="19">
        <v>601</v>
      </c>
      <c r="G198" s="3">
        <v>4.32</v>
      </c>
      <c r="H198" s="5" t="e" vm="13">
        <v>#VALUE!</v>
      </c>
      <c r="I198" t="e" cm="1" vm="14">
        <f t="array" ref="I198">_FV(H198,"Country/region",TRUE)</f>
        <v>#VALUE!</v>
      </c>
      <c r="J198" t="s">
        <v>10</v>
      </c>
      <c r="K198" t="s">
        <v>11</v>
      </c>
      <c r="L198" t="s">
        <v>21</v>
      </c>
      <c r="M198">
        <f>Table1[[#This Row],[Price]]*Table1[[#This Row],[Quantity]]</f>
        <v>7806.99</v>
      </c>
    </row>
    <row r="199" spans="2:13" x14ac:dyDescent="0.3">
      <c r="B199" s="3">
        <v>10656</v>
      </c>
      <c r="C199" s="4">
        <v>44913</v>
      </c>
      <c r="D199" t="s">
        <v>18</v>
      </c>
      <c r="E199" s="3">
        <v>9.9499999999999993</v>
      </c>
      <c r="F199" s="19">
        <v>222</v>
      </c>
      <c r="G199" s="3">
        <v>2.85</v>
      </c>
      <c r="H199" s="5" t="e" vm="13">
        <v>#VALUE!</v>
      </c>
      <c r="I199" t="e" cm="1" vm="14">
        <f t="array" ref="I199">_FV(H199,"Country/region",TRUE)</f>
        <v>#VALUE!</v>
      </c>
      <c r="J199" t="s">
        <v>10</v>
      </c>
      <c r="K199" t="s">
        <v>11</v>
      </c>
      <c r="L199" t="s">
        <v>21</v>
      </c>
      <c r="M199">
        <f>Table1[[#This Row],[Price]]*Table1[[#This Row],[Quantity]]</f>
        <v>2208.8999999999996</v>
      </c>
    </row>
    <row r="200" spans="2:13" x14ac:dyDescent="0.3">
      <c r="B200" s="3">
        <v>10657</v>
      </c>
      <c r="C200" s="4">
        <v>44913</v>
      </c>
      <c r="D200" t="s">
        <v>9</v>
      </c>
      <c r="E200" s="3">
        <v>3.49</v>
      </c>
      <c r="F200" s="19">
        <v>688</v>
      </c>
      <c r="G200" s="3">
        <v>0.88</v>
      </c>
      <c r="H200" s="5" t="e" vm="13">
        <v>#VALUE!</v>
      </c>
      <c r="I200" t="e" cm="1" vm="14">
        <f t="array" ref="I200">_FV(H200,"Country/region",TRUE)</f>
        <v>#VALUE!</v>
      </c>
      <c r="J200" t="s">
        <v>10</v>
      </c>
      <c r="K200" t="s">
        <v>11</v>
      </c>
      <c r="L200" t="s">
        <v>21</v>
      </c>
      <c r="M200">
        <f>Table1[[#This Row],[Price]]*Table1[[#This Row],[Quantity]]</f>
        <v>2401.1200000000003</v>
      </c>
    </row>
    <row r="201" spans="2:13" x14ac:dyDescent="0.3">
      <c r="B201" s="3">
        <v>10658</v>
      </c>
      <c r="C201" s="4">
        <v>44913</v>
      </c>
      <c r="D201" t="s">
        <v>12</v>
      </c>
      <c r="E201" s="3">
        <v>2.95</v>
      </c>
      <c r="F201" s="19">
        <v>746</v>
      </c>
      <c r="G201" s="3">
        <v>0.47</v>
      </c>
      <c r="H201" s="5" t="e" vm="13">
        <v>#VALUE!</v>
      </c>
      <c r="I201" t="e" cm="1" vm="14">
        <f t="array" ref="I201">_FV(H201,"Country/region",TRUE)</f>
        <v>#VALUE!</v>
      </c>
      <c r="J201" t="s">
        <v>10</v>
      </c>
      <c r="K201" t="s">
        <v>23</v>
      </c>
      <c r="L201" t="s">
        <v>21</v>
      </c>
      <c r="M201">
        <f>Table1[[#This Row],[Price]]*Table1[[#This Row],[Quantity]]</f>
        <v>2200.7000000000003</v>
      </c>
    </row>
    <row r="202" spans="2:13" x14ac:dyDescent="0.3">
      <c r="B202" s="3">
        <v>10659</v>
      </c>
      <c r="C202" s="4">
        <v>44913</v>
      </c>
      <c r="D202" t="s">
        <v>13</v>
      </c>
      <c r="E202" s="3">
        <v>4.99</v>
      </c>
      <c r="F202" s="19">
        <v>201</v>
      </c>
      <c r="G202" s="3">
        <v>2.25</v>
      </c>
      <c r="H202" s="5" t="e" vm="13">
        <v>#VALUE!</v>
      </c>
      <c r="I202" t="e" cm="1" vm="14">
        <f t="array" ref="I202">_FV(H202,"Country/region",TRUE)</f>
        <v>#VALUE!</v>
      </c>
      <c r="J202" t="s">
        <v>10</v>
      </c>
      <c r="K202" t="s">
        <v>23</v>
      </c>
      <c r="L202" t="s">
        <v>21</v>
      </c>
      <c r="M202">
        <f>Table1[[#This Row],[Price]]*Table1[[#This Row],[Quantity]]</f>
        <v>1002.99</v>
      </c>
    </row>
    <row r="203" spans="2:13" x14ac:dyDescent="0.3">
      <c r="B203" s="3">
        <v>10660</v>
      </c>
      <c r="C203" s="4">
        <v>44914</v>
      </c>
      <c r="D203" t="s">
        <v>15</v>
      </c>
      <c r="E203" s="3">
        <v>12.99</v>
      </c>
      <c r="F203" s="19">
        <v>632</v>
      </c>
      <c r="G203" s="3">
        <v>4.32</v>
      </c>
      <c r="H203" s="5" t="e" vm="13">
        <v>#VALUE!</v>
      </c>
      <c r="I203" t="e" cm="1" vm="14">
        <f t="array" ref="I203">_FV(H203,"Country/region",TRUE)</f>
        <v>#VALUE!</v>
      </c>
      <c r="J203" t="s">
        <v>14</v>
      </c>
      <c r="K203" t="s">
        <v>23</v>
      </c>
      <c r="L203" t="s">
        <v>21</v>
      </c>
      <c r="M203">
        <f>Table1[[#This Row],[Price]]*Table1[[#This Row],[Quantity]]</f>
        <v>8209.68</v>
      </c>
    </row>
    <row r="204" spans="2:13" x14ac:dyDescent="0.3">
      <c r="B204" s="3">
        <v>10661</v>
      </c>
      <c r="C204" s="4">
        <v>44914</v>
      </c>
      <c r="D204" t="s">
        <v>18</v>
      </c>
      <c r="E204" s="3">
        <v>9.9499999999999993</v>
      </c>
      <c r="F204" s="19">
        <v>222</v>
      </c>
      <c r="G204" s="3">
        <v>2.85</v>
      </c>
      <c r="H204" s="5" t="e" vm="13">
        <v>#VALUE!</v>
      </c>
      <c r="I204" t="e" cm="1" vm="14">
        <f t="array" ref="I204">_FV(H204,"Country/region",TRUE)</f>
        <v>#VALUE!</v>
      </c>
      <c r="J204" t="s">
        <v>14</v>
      </c>
      <c r="K204" t="s">
        <v>23</v>
      </c>
      <c r="L204" t="s">
        <v>21</v>
      </c>
      <c r="M204">
        <f>Table1[[#This Row],[Price]]*Table1[[#This Row],[Quantity]]</f>
        <v>2208.8999999999996</v>
      </c>
    </row>
    <row r="205" spans="2:13" x14ac:dyDescent="0.3">
      <c r="B205" s="3">
        <v>10662</v>
      </c>
      <c r="C205" s="4">
        <v>44914</v>
      </c>
      <c r="D205" t="s">
        <v>9</v>
      </c>
      <c r="E205" s="3">
        <v>3.49</v>
      </c>
      <c r="F205" s="19">
        <v>631</v>
      </c>
      <c r="G205" s="3">
        <v>0.88</v>
      </c>
      <c r="H205" s="5" t="e" vm="13">
        <v>#VALUE!</v>
      </c>
      <c r="I205" t="e" cm="1" vm="14">
        <f t="array" ref="I205">_FV(H205,"Country/region",TRUE)</f>
        <v>#VALUE!</v>
      </c>
      <c r="J205" t="s">
        <v>14</v>
      </c>
      <c r="K205" t="s">
        <v>23</v>
      </c>
      <c r="L205" t="s">
        <v>21</v>
      </c>
      <c r="M205">
        <f>Table1[[#This Row],[Price]]*Table1[[#This Row],[Quantity]]</f>
        <v>2202.19</v>
      </c>
    </row>
    <row r="206" spans="2:13" x14ac:dyDescent="0.3">
      <c r="B206" s="3">
        <v>10663</v>
      </c>
      <c r="C206" s="4">
        <v>44914</v>
      </c>
      <c r="D206" t="s">
        <v>12</v>
      </c>
      <c r="E206" s="3">
        <v>2.95</v>
      </c>
      <c r="F206" s="19">
        <v>746</v>
      </c>
      <c r="G206" s="3">
        <v>0.47</v>
      </c>
      <c r="H206" s="5" t="e" vm="13">
        <v>#VALUE!</v>
      </c>
      <c r="I206" t="e" cm="1" vm="14">
        <f t="array" ref="I206">_FV(H206,"Country/region",TRUE)</f>
        <v>#VALUE!</v>
      </c>
      <c r="J206" t="s">
        <v>14</v>
      </c>
      <c r="K206" t="s">
        <v>23</v>
      </c>
      <c r="L206" t="s">
        <v>21</v>
      </c>
      <c r="M206">
        <f>Table1[[#This Row],[Price]]*Table1[[#This Row],[Quantity]]</f>
        <v>2200.7000000000003</v>
      </c>
    </row>
    <row r="207" spans="2:13" x14ac:dyDescent="0.3">
      <c r="B207" s="3">
        <v>10664</v>
      </c>
      <c r="C207" s="4">
        <v>44914</v>
      </c>
      <c r="D207" t="s">
        <v>13</v>
      </c>
      <c r="E207" s="3">
        <v>4.99</v>
      </c>
      <c r="F207" s="19">
        <v>201</v>
      </c>
      <c r="G207" s="3">
        <v>2.25</v>
      </c>
      <c r="H207" s="5" t="e" vm="13">
        <v>#VALUE!</v>
      </c>
      <c r="I207" t="e" cm="1" vm="14">
        <f t="array" ref="I207">_FV(H207,"Country/region",TRUE)</f>
        <v>#VALUE!</v>
      </c>
      <c r="J207" t="s">
        <v>14</v>
      </c>
      <c r="K207" t="s">
        <v>23</v>
      </c>
      <c r="L207" t="s">
        <v>21</v>
      </c>
      <c r="M207">
        <f>Table1[[#This Row],[Price]]*Table1[[#This Row],[Quantity]]</f>
        <v>1002.99</v>
      </c>
    </row>
    <row r="208" spans="2:13" x14ac:dyDescent="0.3">
      <c r="B208" s="3">
        <v>10665</v>
      </c>
      <c r="C208" s="4">
        <v>44915</v>
      </c>
      <c r="D208" t="s">
        <v>15</v>
      </c>
      <c r="E208" s="3">
        <v>12.99</v>
      </c>
      <c r="F208" s="19">
        <v>647</v>
      </c>
      <c r="G208" s="3">
        <v>4.32</v>
      </c>
      <c r="H208" s="5" t="e" vm="13">
        <v>#VALUE!</v>
      </c>
      <c r="I208" t="e" cm="1" vm="14">
        <f t="array" ref="I208">_FV(H208,"Country/region",TRUE)</f>
        <v>#VALUE!</v>
      </c>
      <c r="J208" t="s">
        <v>14</v>
      </c>
      <c r="K208" t="s">
        <v>23</v>
      </c>
      <c r="L208" t="s">
        <v>21</v>
      </c>
      <c r="M208">
        <f>Table1[[#This Row],[Price]]*Table1[[#This Row],[Quantity]]</f>
        <v>8404.5300000000007</v>
      </c>
    </row>
    <row r="209" spans="2:13" x14ac:dyDescent="0.3">
      <c r="B209" s="3">
        <v>10666</v>
      </c>
      <c r="C209" s="4">
        <v>44915</v>
      </c>
      <c r="D209" t="s">
        <v>18</v>
      </c>
      <c r="E209" s="3">
        <v>9.9499999999999993</v>
      </c>
      <c r="F209" s="19">
        <v>222</v>
      </c>
      <c r="G209" s="3">
        <v>2.85</v>
      </c>
      <c r="H209" s="5" t="e" vm="13">
        <v>#VALUE!</v>
      </c>
      <c r="I209" t="e" cm="1" vm="14">
        <f t="array" ref="I209">_FV(H209,"Country/region",TRUE)</f>
        <v>#VALUE!</v>
      </c>
      <c r="J209" t="s">
        <v>14</v>
      </c>
      <c r="K209" t="s">
        <v>23</v>
      </c>
      <c r="L209" t="s">
        <v>21</v>
      </c>
      <c r="M209">
        <f>Table1[[#This Row],[Price]]*Table1[[#This Row],[Quantity]]</f>
        <v>2208.8999999999996</v>
      </c>
    </row>
    <row r="210" spans="2:13" x14ac:dyDescent="0.3">
      <c r="B210" s="3">
        <v>10667</v>
      </c>
      <c r="C210" s="4">
        <v>44915</v>
      </c>
      <c r="D210" t="s">
        <v>9</v>
      </c>
      <c r="E210" s="3">
        <v>3.49</v>
      </c>
      <c r="F210" s="19">
        <v>631</v>
      </c>
      <c r="G210" s="3">
        <v>0.88</v>
      </c>
      <c r="H210" s="5" t="e" vm="13">
        <v>#VALUE!</v>
      </c>
      <c r="I210" t="e" cm="1" vm="14">
        <f t="array" ref="I210">_FV(H210,"Country/region",TRUE)</f>
        <v>#VALUE!</v>
      </c>
      <c r="J210" t="s">
        <v>14</v>
      </c>
      <c r="K210" t="s">
        <v>23</v>
      </c>
      <c r="L210" t="s">
        <v>21</v>
      </c>
      <c r="M210">
        <f>Table1[[#This Row],[Price]]*Table1[[#This Row],[Quantity]]</f>
        <v>2202.19</v>
      </c>
    </row>
    <row r="211" spans="2:13" x14ac:dyDescent="0.3">
      <c r="B211" s="3">
        <v>10668</v>
      </c>
      <c r="C211" s="4">
        <v>44915</v>
      </c>
      <c r="D211" t="s">
        <v>12</v>
      </c>
      <c r="E211" s="3">
        <v>2.95</v>
      </c>
      <c r="F211" s="19">
        <v>746</v>
      </c>
      <c r="G211" s="3">
        <v>0.47</v>
      </c>
      <c r="H211" s="5" t="e" vm="13">
        <v>#VALUE!</v>
      </c>
      <c r="I211" t="e" cm="1" vm="14">
        <f t="array" ref="I211">_FV(H211,"Country/region",TRUE)</f>
        <v>#VALUE!</v>
      </c>
      <c r="J211" t="s">
        <v>14</v>
      </c>
      <c r="K211" t="s">
        <v>23</v>
      </c>
      <c r="L211" t="s">
        <v>21</v>
      </c>
      <c r="M211">
        <f>Table1[[#This Row],[Price]]*Table1[[#This Row],[Quantity]]</f>
        <v>2200.7000000000003</v>
      </c>
    </row>
    <row r="212" spans="2:13" x14ac:dyDescent="0.3">
      <c r="B212" s="3">
        <v>10669</v>
      </c>
      <c r="C212" s="4">
        <v>44915</v>
      </c>
      <c r="D212" t="s">
        <v>13</v>
      </c>
      <c r="E212" s="3">
        <v>4.99</v>
      </c>
      <c r="F212" s="19">
        <v>201</v>
      </c>
      <c r="G212" s="3">
        <v>2.25</v>
      </c>
      <c r="H212" s="5" t="e" vm="13">
        <v>#VALUE!</v>
      </c>
      <c r="I212" t="e" cm="1" vm="14">
        <f t="array" ref="I212">_FV(H212,"Country/region",TRUE)</f>
        <v>#VALUE!</v>
      </c>
      <c r="J212" t="s">
        <v>14</v>
      </c>
      <c r="K212" t="s">
        <v>23</v>
      </c>
      <c r="L212" t="s">
        <v>21</v>
      </c>
      <c r="M212">
        <f>Table1[[#This Row],[Price]]*Table1[[#This Row],[Quantity]]</f>
        <v>1002.99</v>
      </c>
    </row>
    <row r="213" spans="2:13" x14ac:dyDescent="0.3">
      <c r="B213" s="3">
        <v>10670</v>
      </c>
      <c r="C213" s="4">
        <v>44916</v>
      </c>
      <c r="D213" t="s">
        <v>15</v>
      </c>
      <c r="E213" s="3">
        <v>12.99</v>
      </c>
      <c r="F213" s="19">
        <v>678</v>
      </c>
      <c r="G213" s="3">
        <v>4.32</v>
      </c>
      <c r="H213" s="5" t="e" vm="13">
        <v>#VALUE!</v>
      </c>
      <c r="I213" t="e" cm="1" vm="14">
        <f t="array" ref="I213">_FV(H213,"Country/region",TRUE)</f>
        <v>#VALUE!</v>
      </c>
      <c r="J213" t="s">
        <v>14</v>
      </c>
      <c r="K213" t="s">
        <v>23</v>
      </c>
      <c r="L213" t="s">
        <v>21</v>
      </c>
      <c r="M213">
        <f>Table1[[#This Row],[Price]]*Table1[[#This Row],[Quantity]]</f>
        <v>8807.2199999999993</v>
      </c>
    </row>
    <row r="214" spans="2:13" x14ac:dyDescent="0.3">
      <c r="B214" s="3">
        <v>10671</v>
      </c>
      <c r="C214" s="4">
        <v>44916</v>
      </c>
      <c r="D214" t="s">
        <v>18</v>
      </c>
      <c r="E214" s="3">
        <v>9.9499999999999993</v>
      </c>
      <c r="F214" s="19">
        <v>222</v>
      </c>
      <c r="G214" s="3">
        <v>2.85</v>
      </c>
      <c r="H214" s="5" t="e" vm="13">
        <v>#VALUE!</v>
      </c>
      <c r="I214" t="e" cm="1" vm="14">
        <f t="array" ref="I214">_FV(H214,"Country/region",TRUE)</f>
        <v>#VALUE!</v>
      </c>
      <c r="J214" t="s">
        <v>14</v>
      </c>
      <c r="K214" t="s">
        <v>23</v>
      </c>
      <c r="L214" t="s">
        <v>21</v>
      </c>
      <c r="M214">
        <f>Table1[[#This Row],[Price]]*Table1[[#This Row],[Quantity]]</f>
        <v>2208.8999999999996</v>
      </c>
    </row>
    <row r="215" spans="2:13" x14ac:dyDescent="0.3">
      <c r="B215" s="3">
        <v>10672</v>
      </c>
      <c r="C215" s="4">
        <v>44916</v>
      </c>
      <c r="D215" t="s">
        <v>9</v>
      </c>
      <c r="E215" s="3">
        <v>3.49</v>
      </c>
      <c r="F215" s="19">
        <v>631</v>
      </c>
      <c r="G215" s="3">
        <v>0.88</v>
      </c>
      <c r="H215" s="5" t="e" vm="13">
        <v>#VALUE!</v>
      </c>
      <c r="I215" t="e" cm="1" vm="14">
        <f t="array" ref="I215">_FV(H215,"Country/region",TRUE)</f>
        <v>#VALUE!</v>
      </c>
      <c r="J215" t="s">
        <v>14</v>
      </c>
      <c r="K215" t="s">
        <v>23</v>
      </c>
      <c r="L215" t="s">
        <v>21</v>
      </c>
      <c r="M215">
        <f>Table1[[#This Row],[Price]]*Table1[[#This Row],[Quantity]]</f>
        <v>2202.19</v>
      </c>
    </row>
    <row r="216" spans="2:13" x14ac:dyDescent="0.3">
      <c r="B216" s="3">
        <v>10673</v>
      </c>
      <c r="C216" s="4">
        <v>44916</v>
      </c>
      <c r="D216" t="s">
        <v>12</v>
      </c>
      <c r="E216" s="3">
        <v>2.95</v>
      </c>
      <c r="F216" s="19">
        <v>746</v>
      </c>
      <c r="G216" s="3">
        <v>0.47</v>
      </c>
      <c r="H216" s="5" t="e" vm="13">
        <v>#VALUE!</v>
      </c>
      <c r="I216" t="e" cm="1" vm="14">
        <f t="array" ref="I216">_FV(H216,"Country/region",TRUE)</f>
        <v>#VALUE!</v>
      </c>
      <c r="J216" t="s">
        <v>14</v>
      </c>
      <c r="K216" t="s">
        <v>23</v>
      </c>
      <c r="L216" t="s">
        <v>21</v>
      </c>
      <c r="M216">
        <f>Table1[[#This Row],[Price]]*Table1[[#This Row],[Quantity]]</f>
        <v>2200.7000000000003</v>
      </c>
    </row>
    <row r="217" spans="2:13" x14ac:dyDescent="0.3">
      <c r="B217" s="3">
        <v>10674</v>
      </c>
      <c r="C217" s="4">
        <v>44916</v>
      </c>
      <c r="D217" t="s">
        <v>13</v>
      </c>
      <c r="E217" s="3">
        <v>4.99</v>
      </c>
      <c r="F217" s="19">
        <v>201</v>
      </c>
      <c r="G217" s="3">
        <v>2.25</v>
      </c>
      <c r="H217" s="5" t="e" vm="13">
        <v>#VALUE!</v>
      </c>
      <c r="I217" t="e" cm="1" vm="14">
        <f t="array" ref="I217">_FV(H217,"Country/region",TRUE)</f>
        <v>#VALUE!</v>
      </c>
      <c r="J217" t="s">
        <v>14</v>
      </c>
      <c r="K217" t="s">
        <v>23</v>
      </c>
      <c r="L217" t="s">
        <v>21</v>
      </c>
      <c r="M217">
        <f>Table1[[#This Row],[Price]]*Table1[[#This Row],[Quantity]]</f>
        <v>1002.99</v>
      </c>
    </row>
    <row r="218" spans="2:13" x14ac:dyDescent="0.3">
      <c r="B218" s="3">
        <v>10675</v>
      </c>
      <c r="C218" s="4">
        <v>44917</v>
      </c>
      <c r="D218" t="s">
        <v>15</v>
      </c>
      <c r="E218" s="3">
        <v>12.99</v>
      </c>
      <c r="F218" s="19">
        <v>678</v>
      </c>
      <c r="G218" s="3">
        <v>4.32</v>
      </c>
      <c r="H218" s="5" t="e" vm="13">
        <v>#VALUE!</v>
      </c>
      <c r="I218" t="e" cm="1" vm="14">
        <f t="array" ref="I218">_FV(H218,"Country/region",TRUE)</f>
        <v>#VALUE!</v>
      </c>
      <c r="J218" t="s">
        <v>14</v>
      </c>
      <c r="K218" t="s">
        <v>23</v>
      </c>
      <c r="L218" t="s">
        <v>21</v>
      </c>
      <c r="M218">
        <f>Table1[[#This Row],[Price]]*Table1[[#This Row],[Quantity]]</f>
        <v>8807.2199999999993</v>
      </c>
    </row>
    <row r="219" spans="2:13" x14ac:dyDescent="0.3">
      <c r="B219" s="3">
        <v>10676</v>
      </c>
      <c r="C219" s="4">
        <v>44917</v>
      </c>
      <c r="D219" t="s">
        <v>18</v>
      </c>
      <c r="E219" s="3">
        <v>9.9499999999999993</v>
      </c>
      <c r="F219" s="19">
        <v>242</v>
      </c>
      <c r="G219" s="3">
        <v>2.85</v>
      </c>
      <c r="H219" s="5" t="e" vm="13">
        <v>#VALUE!</v>
      </c>
      <c r="I219" t="e" cm="1" vm="14">
        <f t="array" ref="I219">_FV(H219,"Country/region",TRUE)</f>
        <v>#VALUE!</v>
      </c>
      <c r="J219" t="s">
        <v>14</v>
      </c>
      <c r="K219" t="s">
        <v>23</v>
      </c>
      <c r="L219" t="s">
        <v>21</v>
      </c>
      <c r="M219">
        <f>Table1[[#This Row],[Price]]*Table1[[#This Row],[Quantity]]</f>
        <v>2407.8999999999996</v>
      </c>
    </row>
    <row r="220" spans="2:13" x14ac:dyDescent="0.3">
      <c r="B220" s="3">
        <v>10677</v>
      </c>
      <c r="C220" s="4">
        <v>44917</v>
      </c>
      <c r="D220" t="s">
        <v>9</v>
      </c>
      <c r="E220" s="3">
        <v>3.49</v>
      </c>
      <c r="F220" s="19">
        <v>631</v>
      </c>
      <c r="G220" s="3">
        <v>0.88</v>
      </c>
      <c r="H220" s="5" t="e" vm="13">
        <v>#VALUE!</v>
      </c>
      <c r="I220" t="e" cm="1" vm="14">
        <f t="array" ref="I220">_FV(H220,"Country/region",TRUE)</f>
        <v>#VALUE!</v>
      </c>
      <c r="J220" t="s">
        <v>14</v>
      </c>
      <c r="K220" t="s">
        <v>23</v>
      </c>
      <c r="L220" t="s">
        <v>21</v>
      </c>
      <c r="M220">
        <f>Table1[[#This Row],[Price]]*Table1[[#This Row],[Quantity]]</f>
        <v>2202.19</v>
      </c>
    </row>
    <row r="221" spans="2:13" x14ac:dyDescent="0.3">
      <c r="B221" s="3">
        <v>10678</v>
      </c>
      <c r="C221" s="4">
        <v>44917</v>
      </c>
      <c r="D221" t="s">
        <v>12</v>
      </c>
      <c r="E221" s="3">
        <v>2.95</v>
      </c>
      <c r="F221" s="19">
        <v>746</v>
      </c>
      <c r="G221" s="3">
        <v>0.47</v>
      </c>
      <c r="H221" s="5" t="e" vm="13">
        <v>#VALUE!</v>
      </c>
      <c r="I221" t="e" cm="1" vm="14">
        <f t="array" ref="I221">_FV(H221,"Country/region",TRUE)</f>
        <v>#VALUE!</v>
      </c>
      <c r="J221" t="s">
        <v>14</v>
      </c>
      <c r="K221" t="s">
        <v>23</v>
      </c>
      <c r="L221" t="s">
        <v>21</v>
      </c>
      <c r="M221">
        <f>Table1[[#This Row],[Price]]*Table1[[#This Row],[Quantity]]</f>
        <v>2200.7000000000003</v>
      </c>
    </row>
    <row r="222" spans="2:13" x14ac:dyDescent="0.3">
      <c r="B222" s="3">
        <v>10679</v>
      </c>
      <c r="C222" s="4">
        <v>44917</v>
      </c>
      <c r="D222" t="s">
        <v>13</v>
      </c>
      <c r="E222" s="3">
        <v>4.99</v>
      </c>
      <c r="F222" s="19">
        <v>201</v>
      </c>
      <c r="G222" s="3">
        <v>2.25</v>
      </c>
      <c r="H222" s="5" t="e" vm="13">
        <v>#VALUE!</v>
      </c>
      <c r="I222" t="e" cm="1" vm="14">
        <f t="array" ref="I222">_FV(H222,"Country/region",TRUE)</f>
        <v>#VALUE!</v>
      </c>
      <c r="J222" t="s">
        <v>14</v>
      </c>
      <c r="K222" t="s">
        <v>23</v>
      </c>
      <c r="L222" t="s">
        <v>21</v>
      </c>
      <c r="M222">
        <f>Table1[[#This Row],[Price]]*Table1[[#This Row],[Quantity]]</f>
        <v>1002.99</v>
      </c>
    </row>
    <row r="223" spans="2:13" x14ac:dyDescent="0.3">
      <c r="B223" s="3">
        <v>10680</v>
      </c>
      <c r="C223" s="4">
        <v>44918</v>
      </c>
      <c r="D223" t="s">
        <v>15</v>
      </c>
      <c r="E223" s="3">
        <v>12.99</v>
      </c>
      <c r="F223" s="19">
        <v>647</v>
      </c>
      <c r="G223" s="3">
        <v>4.32</v>
      </c>
      <c r="H223" s="5" t="e" vm="13">
        <v>#VALUE!</v>
      </c>
      <c r="I223" t="e" cm="1" vm="14">
        <f t="array" ref="I223">_FV(H223,"Country/region",TRUE)</f>
        <v>#VALUE!</v>
      </c>
      <c r="J223" t="s">
        <v>14</v>
      </c>
      <c r="K223" t="s">
        <v>23</v>
      </c>
      <c r="L223" t="s">
        <v>21</v>
      </c>
      <c r="M223">
        <f>Table1[[#This Row],[Price]]*Table1[[#This Row],[Quantity]]</f>
        <v>8404.5300000000007</v>
      </c>
    </row>
    <row r="224" spans="2:13" x14ac:dyDescent="0.3">
      <c r="B224" s="3">
        <v>10681</v>
      </c>
      <c r="C224" s="4">
        <v>44918</v>
      </c>
      <c r="D224" t="s">
        <v>18</v>
      </c>
      <c r="E224" s="3">
        <v>9.9499999999999993</v>
      </c>
      <c r="F224" s="19">
        <v>242</v>
      </c>
      <c r="G224" s="3">
        <v>2.85</v>
      </c>
      <c r="H224" s="5" t="e" vm="13">
        <v>#VALUE!</v>
      </c>
      <c r="I224" t="e" cm="1" vm="14">
        <f t="array" ref="I224">_FV(H224,"Country/region",TRUE)</f>
        <v>#VALUE!</v>
      </c>
      <c r="J224" t="s">
        <v>14</v>
      </c>
      <c r="K224" t="s">
        <v>23</v>
      </c>
      <c r="L224" t="s">
        <v>21</v>
      </c>
      <c r="M224">
        <f>Table1[[#This Row],[Price]]*Table1[[#This Row],[Quantity]]</f>
        <v>2407.8999999999996</v>
      </c>
    </row>
    <row r="225" spans="2:13" x14ac:dyDescent="0.3">
      <c r="B225" s="3">
        <v>10682</v>
      </c>
      <c r="C225" s="4">
        <v>44918</v>
      </c>
      <c r="D225" t="s">
        <v>9</v>
      </c>
      <c r="E225" s="3">
        <v>3.49</v>
      </c>
      <c r="F225" s="19">
        <v>631</v>
      </c>
      <c r="G225" s="3">
        <v>0.88</v>
      </c>
      <c r="H225" s="5" t="e" vm="13">
        <v>#VALUE!</v>
      </c>
      <c r="I225" t="e" cm="1" vm="14">
        <f t="array" ref="I225">_FV(H225,"Country/region",TRUE)</f>
        <v>#VALUE!</v>
      </c>
      <c r="J225" t="s">
        <v>14</v>
      </c>
      <c r="K225" t="s">
        <v>23</v>
      </c>
      <c r="L225" t="s">
        <v>21</v>
      </c>
      <c r="M225">
        <f>Table1[[#This Row],[Price]]*Table1[[#This Row],[Quantity]]</f>
        <v>2202.19</v>
      </c>
    </row>
    <row r="226" spans="2:13" x14ac:dyDescent="0.3">
      <c r="B226" s="3">
        <v>10683</v>
      </c>
      <c r="C226" s="4">
        <v>44918</v>
      </c>
      <c r="D226" t="s">
        <v>12</v>
      </c>
      <c r="E226" s="3">
        <v>2.95</v>
      </c>
      <c r="F226" s="19">
        <v>678</v>
      </c>
      <c r="G226" s="3">
        <v>0.47</v>
      </c>
      <c r="H226" s="5" t="e" vm="13">
        <v>#VALUE!</v>
      </c>
      <c r="I226" t="e" cm="1" vm="14">
        <f t="array" ref="I226">_FV(H226,"Country/region",TRUE)</f>
        <v>#VALUE!</v>
      </c>
      <c r="J226" t="s">
        <v>14</v>
      </c>
      <c r="K226" t="s">
        <v>23</v>
      </c>
      <c r="L226" t="s">
        <v>21</v>
      </c>
      <c r="M226">
        <f>Table1[[#This Row],[Price]]*Table1[[#This Row],[Quantity]]</f>
        <v>2000.1000000000001</v>
      </c>
    </row>
    <row r="227" spans="2:13" x14ac:dyDescent="0.3">
      <c r="B227" s="3">
        <v>10684</v>
      </c>
      <c r="C227" s="4">
        <v>44918</v>
      </c>
      <c r="D227" t="s">
        <v>13</v>
      </c>
      <c r="E227" s="3">
        <v>4.99</v>
      </c>
      <c r="F227" s="19">
        <v>201</v>
      </c>
      <c r="G227" s="3">
        <v>2.25</v>
      </c>
      <c r="H227" s="5" t="e" vm="13">
        <v>#VALUE!</v>
      </c>
      <c r="I227" t="e" cm="1" vm="14">
        <f t="array" ref="I227">_FV(H227,"Country/region",TRUE)</f>
        <v>#VALUE!</v>
      </c>
      <c r="J227" t="s">
        <v>14</v>
      </c>
      <c r="K227" t="s">
        <v>23</v>
      </c>
      <c r="L227" t="s">
        <v>21</v>
      </c>
      <c r="M227">
        <f>Table1[[#This Row],[Price]]*Table1[[#This Row],[Quantity]]</f>
        <v>1002.99</v>
      </c>
    </row>
    <row r="228" spans="2:13" x14ac:dyDescent="0.3">
      <c r="B228" s="3">
        <v>10685</v>
      </c>
      <c r="C228" s="4">
        <v>44919</v>
      </c>
      <c r="D228" t="s">
        <v>15</v>
      </c>
      <c r="E228" s="3">
        <v>12.99</v>
      </c>
      <c r="F228" s="19">
        <v>678</v>
      </c>
      <c r="G228" s="3">
        <v>4.32</v>
      </c>
      <c r="H228" s="5" t="e" vm="13">
        <v>#VALUE!</v>
      </c>
      <c r="I228" t="e" cm="1" vm="14">
        <f t="array" ref="I228">_FV(H228,"Country/region",TRUE)</f>
        <v>#VALUE!</v>
      </c>
      <c r="J228" t="s">
        <v>14</v>
      </c>
      <c r="K228" t="s">
        <v>23</v>
      </c>
      <c r="L228" t="s">
        <v>21</v>
      </c>
      <c r="M228">
        <f>Table1[[#This Row],[Price]]*Table1[[#This Row],[Quantity]]</f>
        <v>8807.2199999999993</v>
      </c>
    </row>
    <row r="229" spans="2:13" x14ac:dyDescent="0.3">
      <c r="B229" s="3">
        <v>10686</v>
      </c>
      <c r="C229" s="4">
        <v>44919</v>
      </c>
      <c r="D229" t="s">
        <v>18</v>
      </c>
      <c r="E229" s="3">
        <v>9.9499999999999993</v>
      </c>
      <c r="F229" s="19">
        <v>242</v>
      </c>
      <c r="G229" s="3">
        <v>2.85</v>
      </c>
      <c r="H229" s="5" t="e" vm="13">
        <v>#VALUE!</v>
      </c>
      <c r="I229" t="e" cm="1" vm="14">
        <f t="array" ref="I229">_FV(H229,"Country/region",TRUE)</f>
        <v>#VALUE!</v>
      </c>
      <c r="J229" t="s">
        <v>14</v>
      </c>
      <c r="K229" t="s">
        <v>23</v>
      </c>
      <c r="L229" t="s">
        <v>21</v>
      </c>
      <c r="M229">
        <f>Table1[[#This Row],[Price]]*Table1[[#This Row],[Quantity]]</f>
        <v>2407.8999999999996</v>
      </c>
    </row>
    <row r="230" spans="2:13" x14ac:dyDescent="0.3">
      <c r="B230" s="3">
        <v>10687</v>
      </c>
      <c r="C230" s="4">
        <v>44919</v>
      </c>
      <c r="D230" t="s">
        <v>9</v>
      </c>
      <c r="E230" s="3">
        <v>3.49</v>
      </c>
      <c r="F230" s="19">
        <v>631</v>
      </c>
      <c r="G230" s="3">
        <v>0.88</v>
      </c>
      <c r="H230" t="e" vm="15">
        <v>#VALUE!</v>
      </c>
      <c r="I230" t="e" cm="1" vm="16">
        <f t="array" ref="I230">_FV(H230,"Country/region",TRUE)</f>
        <v>#VALUE!</v>
      </c>
      <c r="J230" t="s">
        <v>14</v>
      </c>
      <c r="K230" t="s">
        <v>23</v>
      </c>
      <c r="L230" t="s">
        <v>17</v>
      </c>
      <c r="M230">
        <f>Table1[[#This Row],[Price]]*Table1[[#This Row],[Quantity]]</f>
        <v>2202.19</v>
      </c>
    </row>
    <row r="231" spans="2:13" x14ac:dyDescent="0.3">
      <c r="B231" s="3">
        <v>10688</v>
      </c>
      <c r="C231" s="4">
        <v>44919</v>
      </c>
      <c r="D231" t="s">
        <v>12</v>
      </c>
      <c r="E231" s="3">
        <v>2.95</v>
      </c>
      <c r="F231" s="19">
        <v>678</v>
      </c>
      <c r="G231" s="3">
        <v>0.47</v>
      </c>
      <c r="H231" t="e" vm="15">
        <v>#VALUE!</v>
      </c>
      <c r="I231" t="e" cm="1" vm="16">
        <f t="array" ref="I231">_FV(H231,"Country/region",TRUE)</f>
        <v>#VALUE!</v>
      </c>
      <c r="J231" t="s">
        <v>14</v>
      </c>
      <c r="K231" t="s">
        <v>23</v>
      </c>
      <c r="L231" t="s">
        <v>17</v>
      </c>
      <c r="M231">
        <f>Table1[[#This Row],[Price]]*Table1[[#This Row],[Quantity]]</f>
        <v>2000.1000000000001</v>
      </c>
    </row>
    <row r="232" spans="2:13" x14ac:dyDescent="0.3">
      <c r="B232" s="3">
        <v>10689</v>
      </c>
      <c r="C232" s="4">
        <v>44919</v>
      </c>
      <c r="D232" t="s">
        <v>13</v>
      </c>
      <c r="E232" s="3">
        <v>4.99</v>
      </c>
      <c r="F232" s="19">
        <v>201</v>
      </c>
      <c r="G232" s="3">
        <v>2.25</v>
      </c>
      <c r="H232" t="e" vm="15">
        <v>#VALUE!</v>
      </c>
      <c r="I232" t="e" cm="1" vm="16">
        <f t="array" ref="I232">_FV(H232,"Country/region",TRUE)</f>
        <v>#VALUE!</v>
      </c>
      <c r="J232" t="s">
        <v>14</v>
      </c>
      <c r="K232" t="s">
        <v>23</v>
      </c>
      <c r="L232" t="s">
        <v>17</v>
      </c>
      <c r="M232">
        <f>Table1[[#This Row],[Price]]*Table1[[#This Row],[Quantity]]</f>
        <v>1002.99</v>
      </c>
    </row>
    <row r="233" spans="2:13" x14ac:dyDescent="0.3">
      <c r="B233" s="3">
        <v>10690</v>
      </c>
      <c r="C233" s="4">
        <v>44920</v>
      </c>
      <c r="D233" t="s">
        <v>15</v>
      </c>
      <c r="E233" s="3">
        <v>12.99</v>
      </c>
      <c r="F233" s="19">
        <v>678</v>
      </c>
      <c r="G233" s="3">
        <v>4.32</v>
      </c>
      <c r="H233" t="e" vm="15">
        <v>#VALUE!</v>
      </c>
      <c r="I233" t="e" cm="1" vm="16">
        <f t="array" ref="I233">_FV(H233,"Country/region",TRUE)</f>
        <v>#VALUE!</v>
      </c>
      <c r="J233" t="s">
        <v>14</v>
      </c>
      <c r="K233" t="s">
        <v>23</v>
      </c>
      <c r="L233" t="s">
        <v>17</v>
      </c>
      <c r="M233">
        <f>Table1[[#This Row],[Price]]*Table1[[#This Row],[Quantity]]</f>
        <v>8807.2199999999993</v>
      </c>
    </row>
    <row r="234" spans="2:13" x14ac:dyDescent="0.3">
      <c r="B234" s="3">
        <v>10691</v>
      </c>
      <c r="C234" s="4">
        <v>44920</v>
      </c>
      <c r="D234" t="s">
        <v>18</v>
      </c>
      <c r="E234" s="3">
        <v>9.9499999999999993</v>
      </c>
      <c r="F234" s="19">
        <v>262</v>
      </c>
      <c r="G234" s="3">
        <v>2.85</v>
      </c>
      <c r="H234" t="e" vm="15">
        <v>#VALUE!</v>
      </c>
      <c r="I234" t="e" cm="1" vm="16">
        <f t="array" ref="I234">_FV(H234,"Country/region",TRUE)</f>
        <v>#VALUE!</v>
      </c>
      <c r="J234" t="s">
        <v>14</v>
      </c>
      <c r="K234" t="s">
        <v>23</v>
      </c>
      <c r="L234" t="s">
        <v>17</v>
      </c>
      <c r="M234">
        <f>Table1[[#This Row],[Price]]*Table1[[#This Row],[Quantity]]</f>
        <v>2606.8999999999996</v>
      </c>
    </row>
    <row r="235" spans="2:13" x14ac:dyDescent="0.3">
      <c r="B235" s="3">
        <v>10692</v>
      </c>
      <c r="C235" s="4">
        <v>44920</v>
      </c>
      <c r="D235" t="s">
        <v>9</v>
      </c>
      <c r="E235" s="3">
        <v>3.49</v>
      </c>
      <c r="F235" s="19">
        <v>631</v>
      </c>
      <c r="G235" s="3">
        <v>0.88</v>
      </c>
      <c r="H235" t="e" vm="15">
        <v>#VALUE!</v>
      </c>
      <c r="I235" t="e" cm="1" vm="16">
        <f t="array" ref="I235">_FV(H235,"Country/region",TRUE)</f>
        <v>#VALUE!</v>
      </c>
      <c r="J235" t="s">
        <v>14</v>
      </c>
      <c r="K235" t="s">
        <v>23</v>
      </c>
      <c r="L235" t="s">
        <v>17</v>
      </c>
      <c r="M235">
        <f>Table1[[#This Row],[Price]]*Table1[[#This Row],[Quantity]]</f>
        <v>2202.19</v>
      </c>
    </row>
    <row r="236" spans="2:13" x14ac:dyDescent="0.3">
      <c r="B236" s="3">
        <v>10693</v>
      </c>
      <c r="C236" s="4">
        <v>44920</v>
      </c>
      <c r="D236" t="s">
        <v>12</v>
      </c>
      <c r="E236" s="3">
        <v>2.95</v>
      </c>
      <c r="F236" s="19">
        <v>678</v>
      </c>
      <c r="G236" s="3">
        <v>0.47</v>
      </c>
      <c r="H236" t="e" vm="15">
        <v>#VALUE!</v>
      </c>
      <c r="I236" t="e" cm="1" vm="16">
        <f t="array" ref="I236">_FV(H236,"Country/region",TRUE)</f>
        <v>#VALUE!</v>
      </c>
      <c r="J236" t="s">
        <v>14</v>
      </c>
      <c r="K236" t="s">
        <v>23</v>
      </c>
      <c r="L236" t="s">
        <v>17</v>
      </c>
      <c r="M236">
        <f>Table1[[#This Row],[Price]]*Table1[[#This Row],[Quantity]]</f>
        <v>2000.1000000000001</v>
      </c>
    </row>
    <row r="237" spans="2:13" x14ac:dyDescent="0.3">
      <c r="B237" s="3">
        <v>10694</v>
      </c>
      <c r="C237" s="4">
        <v>44920</v>
      </c>
      <c r="D237" t="s">
        <v>13</v>
      </c>
      <c r="E237" s="3">
        <v>4.99</v>
      </c>
      <c r="F237" s="19">
        <v>201</v>
      </c>
      <c r="G237" s="3">
        <v>2.25</v>
      </c>
      <c r="H237" t="e" vm="15">
        <v>#VALUE!</v>
      </c>
      <c r="I237" t="e" cm="1" vm="16">
        <f t="array" ref="I237">_FV(H237,"Country/region",TRUE)</f>
        <v>#VALUE!</v>
      </c>
      <c r="J237" t="s">
        <v>14</v>
      </c>
      <c r="K237" t="s">
        <v>23</v>
      </c>
      <c r="L237" t="s">
        <v>17</v>
      </c>
      <c r="M237">
        <f>Table1[[#This Row],[Price]]*Table1[[#This Row],[Quantity]]</f>
        <v>1002.99</v>
      </c>
    </row>
    <row r="238" spans="2:13" x14ac:dyDescent="0.3">
      <c r="B238" s="3">
        <v>10695</v>
      </c>
      <c r="C238" s="4">
        <v>44921</v>
      </c>
      <c r="D238" t="s">
        <v>15</v>
      </c>
      <c r="E238" s="3">
        <v>12.99</v>
      </c>
      <c r="F238" s="19">
        <v>693</v>
      </c>
      <c r="G238" s="3">
        <v>4.32</v>
      </c>
      <c r="H238" t="e" vm="15">
        <v>#VALUE!</v>
      </c>
      <c r="I238" t="e" cm="1" vm="16">
        <f t="array" ref="I238">_FV(H238,"Country/region",TRUE)</f>
        <v>#VALUE!</v>
      </c>
      <c r="J238" t="s">
        <v>14</v>
      </c>
      <c r="K238" t="s">
        <v>23</v>
      </c>
      <c r="L238" t="s">
        <v>17</v>
      </c>
      <c r="M238">
        <f>Table1[[#This Row],[Price]]*Table1[[#This Row],[Quantity]]</f>
        <v>9002.07</v>
      </c>
    </row>
    <row r="239" spans="2:13" x14ac:dyDescent="0.3">
      <c r="B239" s="3">
        <v>10696</v>
      </c>
      <c r="C239" s="4">
        <v>44921</v>
      </c>
      <c r="D239" t="s">
        <v>18</v>
      </c>
      <c r="E239" s="3">
        <v>9.9499999999999993</v>
      </c>
      <c r="F239" s="19">
        <v>282</v>
      </c>
      <c r="G239" s="3">
        <v>2.85</v>
      </c>
      <c r="H239" t="e" vm="15">
        <v>#VALUE!</v>
      </c>
      <c r="I239" t="e" cm="1" vm="16">
        <f t="array" ref="I239">_FV(H239,"Country/region",TRUE)</f>
        <v>#VALUE!</v>
      </c>
      <c r="J239" t="s">
        <v>14</v>
      </c>
      <c r="K239" t="s">
        <v>23</v>
      </c>
      <c r="L239" t="s">
        <v>17</v>
      </c>
      <c r="M239">
        <f>Table1[[#This Row],[Price]]*Table1[[#This Row],[Quantity]]</f>
        <v>2805.8999999999996</v>
      </c>
    </row>
    <row r="240" spans="2:13" x14ac:dyDescent="0.3">
      <c r="B240" s="3">
        <v>10697</v>
      </c>
      <c r="C240" s="4">
        <v>44921</v>
      </c>
      <c r="D240" t="s">
        <v>9</v>
      </c>
      <c r="E240" s="3">
        <v>3.49</v>
      </c>
      <c r="F240" s="19">
        <v>631</v>
      </c>
      <c r="G240" s="3">
        <v>0.88</v>
      </c>
      <c r="H240" t="e" vm="15">
        <v>#VALUE!</v>
      </c>
      <c r="I240" t="e" cm="1" vm="16">
        <f t="array" ref="I240">_FV(H240,"Country/region",TRUE)</f>
        <v>#VALUE!</v>
      </c>
      <c r="J240" t="s">
        <v>14</v>
      </c>
      <c r="K240" t="s">
        <v>23</v>
      </c>
      <c r="L240" t="s">
        <v>17</v>
      </c>
      <c r="M240">
        <f>Table1[[#This Row],[Price]]*Table1[[#This Row],[Quantity]]</f>
        <v>2202.19</v>
      </c>
    </row>
    <row r="241" spans="2:13" x14ac:dyDescent="0.3">
      <c r="B241" s="3">
        <v>10698</v>
      </c>
      <c r="C241" s="4">
        <v>44921</v>
      </c>
      <c r="D241" t="s">
        <v>12</v>
      </c>
      <c r="E241" s="3">
        <v>2.95</v>
      </c>
      <c r="F241" s="19">
        <v>678</v>
      </c>
      <c r="G241" s="3">
        <v>0.47</v>
      </c>
      <c r="H241" t="e" vm="15">
        <v>#VALUE!</v>
      </c>
      <c r="I241" t="e" cm="1" vm="16">
        <f t="array" ref="I241">_FV(H241,"Country/region",TRUE)</f>
        <v>#VALUE!</v>
      </c>
      <c r="J241" t="s">
        <v>14</v>
      </c>
      <c r="K241" t="s">
        <v>23</v>
      </c>
      <c r="L241" t="s">
        <v>17</v>
      </c>
      <c r="M241">
        <f>Table1[[#This Row],[Price]]*Table1[[#This Row],[Quantity]]</f>
        <v>2000.1000000000001</v>
      </c>
    </row>
    <row r="242" spans="2:13" x14ac:dyDescent="0.3">
      <c r="B242" s="3">
        <v>10699</v>
      </c>
      <c r="C242" s="4">
        <v>44921</v>
      </c>
      <c r="D242" t="s">
        <v>13</v>
      </c>
      <c r="E242" s="3">
        <v>4.99</v>
      </c>
      <c r="F242" s="19">
        <v>201</v>
      </c>
      <c r="G242" s="3">
        <v>2.25</v>
      </c>
      <c r="H242" t="e" vm="15">
        <v>#VALUE!</v>
      </c>
      <c r="I242" t="e" cm="1" vm="16">
        <f t="array" ref="I242">_FV(H242,"Country/region",TRUE)</f>
        <v>#VALUE!</v>
      </c>
      <c r="J242" t="s">
        <v>14</v>
      </c>
      <c r="K242" t="s">
        <v>23</v>
      </c>
      <c r="L242" t="s">
        <v>17</v>
      </c>
      <c r="M242">
        <f>Table1[[#This Row],[Price]]*Table1[[#This Row],[Quantity]]</f>
        <v>1002.99</v>
      </c>
    </row>
    <row r="243" spans="2:13" x14ac:dyDescent="0.3">
      <c r="B243" s="3">
        <v>10700</v>
      </c>
      <c r="C243" s="4">
        <v>44922</v>
      </c>
      <c r="D243" t="s">
        <v>15</v>
      </c>
      <c r="E243" s="3">
        <v>12.99</v>
      </c>
      <c r="F243" s="19">
        <v>693</v>
      </c>
      <c r="G243" s="3">
        <v>4.32</v>
      </c>
      <c r="H243" t="e" vm="15">
        <v>#VALUE!</v>
      </c>
      <c r="I243" t="e" cm="1" vm="16">
        <f t="array" ref="I243">_FV(H243,"Country/region",TRUE)</f>
        <v>#VALUE!</v>
      </c>
      <c r="J243" t="s">
        <v>14</v>
      </c>
      <c r="K243" t="s">
        <v>23</v>
      </c>
      <c r="L243" t="s">
        <v>17</v>
      </c>
      <c r="M243">
        <f>Table1[[#This Row],[Price]]*Table1[[#This Row],[Quantity]]</f>
        <v>9002.07</v>
      </c>
    </row>
    <row r="244" spans="2:13" x14ac:dyDescent="0.3">
      <c r="B244" s="3">
        <v>10701</v>
      </c>
      <c r="C244" s="4">
        <v>44922</v>
      </c>
      <c r="D244" t="s">
        <v>18</v>
      </c>
      <c r="E244" s="3">
        <v>9.9499999999999993</v>
      </c>
      <c r="F244" s="19">
        <v>282</v>
      </c>
      <c r="G244" s="3">
        <v>2.85</v>
      </c>
      <c r="H244" t="e" vm="15">
        <v>#VALUE!</v>
      </c>
      <c r="I244" t="e" cm="1" vm="16">
        <f t="array" ref="I244">_FV(H244,"Country/region",TRUE)</f>
        <v>#VALUE!</v>
      </c>
      <c r="J244" t="s">
        <v>14</v>
      </c>
      <c r="K244" t="s">
        <v>23</v>
      </c>
      <c r="L244" t="s">
        <v>17</v>
      </c>
      <c r="M244">
        <f>Table1[[#This Row],[Price]]*Table1[[#This Row],[Quantity]]</f>
        <v>2805.8999999999996</v>
      </c>
    </row>
    <row r="245" spans="2:13" x14ac:dyDescent="0.3">
      <c r="B245" s="3">
        <v>10702</v>
      </c>
      <c r="C245" s="4">
        <v>44922</v>
      </c>
      <c r="D245" t="s">
        <v>9</v>
      </c>
      <c r="E245" s="3">
        <v>3.49</v>
      </c>
      <c r="F245" s="19">
        <v>631</v>
      </c>
      <c r="G245" s="3">
        <v>0.88</v>
      </c>
      <c r="H245" t="e" vm="15">
        <v>#VALUE!</v>
      </c>
      <c r="I245" t="e" cm="1" vm="16">
        <f t="array" ref="I245">_FV(H245,"Country/region",TRUE)</f>
        <v>#VALUE!</v>
      </c>
      <c r="J245" t="s">
        <v>14</v>
      </c>
      <c r="K245" t="s">
        <v>23</v>
      </c>
      <c r="L245" t="s">
        <v>17</v>
      </c>
      <c r="M245">
        <f>Table1[[#This Row],[Price]]*Table1[[#This Row],[Quantity]]</f>
        <v>2202.19</v>
      </c>
    </row>
    <row r="246" spans="2:13" x14ac:dyDescent="0.3">
      <c r="B246" s="3">
        <v>10703</v>
      </c>
      <c r="C246" s="4">
        <v>44922</v>
      </c>
      <c r="D246" t="s">
        <v>12</v>
      </c>
      <c r="E246" s="3">
        <v>2.95</v>
      </c>
      <c r="F246" s="19">
        <v>678</v>
      </c>
      <c r="G246" s="3">
        <v>0.47</v>
      </c>
      <c r="H246" t="e" vm="15">
        <v>#VALUE!</v>
      </c>
      <c r="I246" t="e" cm="1" vm="16">
        <f t="array" ref="I246">_FV(H246,"Country/region",TRUE)</f>
        <v>#VALUE!</v>
      </c>
      <c r="J246" t="s">
        <v>14</v>
      </c>
      <c r="K246" t="s">
        <v>11</v>
      </c>
      <c r="L246" t="s">
        <v>17</v>
      </c>
      <c r="M246">
        <f>Table1[[#This Row],[Price]]*Table1[[#This Row],[Quantity]]</f>
        <v>2000.1000000000001</v>
      </c>
    </row>
    <row r="247" spans="2:13" x14ac:dyDescent="0.3">
      <c r="B247" s="3">
        <v>10704</v>
      </c>
      <c r="C247" s="4">
        <v>44922</v>
      </c>
      <c r="D247" t="s">
        <v>13</v>
      </c>
      <c r="E247" s="3">
        <v>4.99</v>
      </c>
      <c r="F247" s="19">
        <v>201</v>
      </c>
      <c r="G247" s="3">
        <v>2.25</v>
      </c>
      <c r="H247" t="e" vm="15">
        <v>#VALUE!</v>
      </c>
      <c r="I247" t="e" cm="1" vm="16">
        <f t="array" ref="I247">_FV(H247,"Country/region",TRUE)</f>
        <v>#VALUE!</v>
      </c>
      <c r="J247" t="s">
        <v>22</v>
      </c>
      <c r="K247" t="s">
        <v>11</v>
      </c>
      <c r="L247" t="s">
        <v>17</v>
      </c>
      <c r="M247">
        <f>Table1[[#This Row],[Price]]*Table1[[#This Row],[Quantity]]</f>
        <v>1002.99</v>
      </c>
    </row>
    <row r="248" spans="2:13" x14ac:dyDescent="0.3">
      <c r="B248" s="3">
        <v>10705</v>
      </c>
      <c r="C248" s="4">
        <v>44923</v>
      </c>
      <c r="D248" t="s">
        <v>15</v>
      </c>
      <c r="E248" s="3">
        <v>12.99</v>
      </c>
      <c r="F248" s="19">
        <v>724</v>
      </c>
      <c r="G248" s="3">
        <v>4.32</v>
      </c>
      <c r="H248" t="e" vm="15">
        <v>#VALUE!</v>
      </c>
      <c r="I248" t="e" cm="1" vm="16">
        <f t="array" ref="I248">_FV(H248,"Country/region",TRUE)</f>
        <v>#VALUE!</v>
      </c>
      <c r="J248" t="s">
        <v>22</v>
      </c>
      <c r="K248" t="s">
        <v>11</v>
      </c>
      <c r="L248" t="s">
        <v>17</v>
      </c>
      <c r="M248">
        <f>Table1[[#This Row],[Price]]*Table1[[#This Row],[Quantity]]</f>
        <v>9404.76</v>
      </c>
    </row>
    <row r="249" spans="2:13" x14ac:dyDescent="0.3">
      <c r="B249" s="3">
        <v>10706</v>
      </c>
      <c r="C249" s="4">
        <v>44923</v>
      </c>
      <c r="D249" t="s">
        <v>18</v>
      </c>
      <c r="E249" s="3">
        <v>9.9499999999999993</v>
      </c>
      <c r="F249" s="19">
        <v>302</v>
      </c>
      <c r="G249" s="3">
        <v>2.85</v>
      </c>
      <c r="H249" t="e" vm="15">
        <v>#VALUE!</v>
      </c>
      <c r="I249" t="e" cm="1" vm="16">
        <f t="array" ref="I249">_FV(H249,"Country/region",TRUE)</f>
        <v>#VALUE!</v>
      </c>
      <c r="J249" t="s">
        <v>22</v>
      </c>
      <c r="K249" t="s">
        <v>11</v>
      </c>
      <c r="L249" t="s">
        <v>17</v>
      </c>
      <c r="M249">
        <f>Table1[[#This Row],[Price]]*Table1[[#This Row],[Quantity]]</f>
        <v>3004.8999999999996</v>
      </c>
    </row>
    <row r="250" spans="2:13" x14ac:dyDescent="0.3">
      <c r="B250" s="3">
        <v>10707</v>
      </c>
      <c r="C250" s="4">
        <v>44923</v>
      </c>
      <c r="D250" t="s">
        <v>9</v>
      </c>
      <c r="E250" s="3">
        <v>3.49</v>
      </c>
      <c r="F250" s="19">
        <v>631</v>
      </c>
      <c r="G250" s="3">
        <v>0.88</v>
      </c>
      <c r="H250" t="e" vm="15">
        <v>#VALUE!</v>
      </c>
      <c r="I250" t="e" cm="1" vm="16">
        <f t="array" ref="I250">_FV(H250,"Country/region",TRUE)</f>
        <v>#VALUE!</v>
      </c>
      <c r="J250" t="s">
        <v>22</v>
      </c>
      <c r="K250" t="s">
        <v>11</v>
      </c>
      <c r="L250" t="s">
        <v>17</v>
      </c>
      <c r="M250">
        <f>Table1[[#This Row],[Price]]*Table1[[#This Row],[Quantity]]</f>
        <v>2202.19</v>
      </c>
    </row>
    <row r="251" spans="2:13" x14ac:dyDescent="0.3">
      <c r="B251" s="3">
        <v>10708</v>
      </c>
      <c r="C251" s="4">
        <v>44923</v>
      </c>
      <c r="D251" t="s">
        <v>12</v>
      </c>
      <c r="E251" s="3">
        <v>2.95</v>
      </c>
      <c r="F251" s="19">
        <v>678</v>
      </c>
      <c r="G251" s="3">
        <v>0.47</v>
      </c>
      <c r="H251" t="e" vm="15">
        <v>#VALUE!</v>
      </c>
      <c r="I251" t="e" cm="1" vm="16">
        <f t="array" ref="I251">_FV(H251,"Country/region",TRUE)</f>
        <v>#VALUE!</v>
      </c>
      <c r="J251" t="s">
        <v>22</v>
      </c>
      <c r="K251" t="s">
        <v>11</v>
      </c>
      <c r="L251" t="s">
        <v>17</v>
      </c>
      <c r="M251">
        <f>Table1[[#This Row],[Price]]*Table1[[#This Row],[Quantity]]</f>
        <v>2000.1000000000001</v>
      </c>
    </row>
    <row r="252" spans="2:13" x14ac:dyDescent="0.3">
      <c r="B252" s="3">
        <v>10709</v>
      </c>
      <c r="C252" s="4">
        <v>44923</v>
      </c>
      <c r="D252" t="s">
        <v>13</v>
      </c>
      <c r="E252" s="3">
        <v>4.99</v>
      </c>
      <c r="F252" s="19">
        <v>201</v>
      </c>
      <c r="G252" s="3">
        <v>2.25</v>
      </c>
      <c r="H252" t="e" vm="15">
        <v>#VALUE!</v>
      </c>
      <c r="I252" t="e" cm="1" vm="16">
        <f t="array" ref="I252">_FV(H252,"Country/region",TRUE)</f>
        <v>#VALUE!</v>
      </c>
      <c r="J252" t="s">
        <v>22</v>
      </c>
      <c r="K252" t="s">
        <v>11</v>
      </c>
      <c r="L252" t="s">
        <v>17</v>
      </c>
      <c r="M252">
        <f>Table1[[#This Row],[Price]]*Table1[[#This Row],[Quantity]]</f>
        <v>1002.99</v>
      </c>
    </row>
    <row r="253" spans="2:13" x14ac:dyDescent="0.3">
      <c r="B253" s="3">
        <v>10710</v>
      </c>
      <c r="C253" s="4">
        <v>44924</v>
      </c>
      <c r="D253" t="s">
        <v>15</v>
      </c>
      <c r="E253" s="3">
        <v>12.99</v>
      </c>
      <c r="F253" s="19">
        <v>755</v>
      </c>
      <c r="G253" s="3">
        <v>4.32</v>
      </c>
      <c r="H253" t="e" vm="15">
        <v>#VALUE!</v>
      </c>
      <c r="I253" t="e" cm="1" vm="16">
        <f t="array" ref="I253">_FV(H253,"Country/region",TRUE)</f>
        <v>#VALUE!</v>
      </c>
      <c r="J253" t="s">
        <v>22</v>
      </c>
      <c r="K253" t="s">
        <v>11</v>
      </c>
      <c r="L253" t="s">
        <v>17</v>
      </c>
      <c r="M253">
        <f>Table1[[#This Row],[Price]]*Table1[[#This Row],[Quantity]]</f>
        <v>9807.4500000000007</v>
      </c>
    </row>
    <row r="254" spans="2:13" x14ac:dyDescent="0.3">
      <c r="B254" s="3">
        <v>10711</v>
      </c>
      <c r="C254" s="4">
        <v>44924</v>
      </c>
      <c r="D254" t="s">
        <v>18</v>
      </c>
      <c r="E254" s="3">
        <v>9.9499999999999993</v>
      </c>
      <c r="F254" s="19">
        <v>282</v>
      </c>
      <c r="G254" s="3">
        <v>2.85</v>
      </c>
      <c r="H254" t="e" vm="15">
        <v>#VALUE!</v>
      </c>
      <c r="I254" t="e" cm="1" vm="16">
        <f t="array" ref="I254">_FV(H254,"Country/region",TRUE)</f>
        <v>#VALUE!</v>
      </c>
      <c r="J254" t="s">
        <v>22</v>
      </c>
      <c r="K254" t="s">
        <v>11</v>
      </c>
      <c r="L254" t="s">
        <v>17</v>
      </c>
      <c r="M254">
        <f>Table1[[#This Row],[Price]]*Table1[[#This Row],[Quantity]]</f>
        <v>2805.8999999999996</v>
      </c>
    </row>
    <row r="255" spans="2:13" x14ac:dyDescent="0.3">
      <c r="B255" s="3">
        <v>10712</v>
      </c>
      <c r="C255" s="4">
        <v>44924</v>
      </c>
      <c r="D255" t="s">
        <v>9</v>
      </c>
      <c r="E255" s="3">
        <v>3.49</v>
      </c>
      <c r="F255" s="19">
        <v>631</v>
      </c>
      <c r="G255" s="3">
        <v>0.88</v>
      </c>
      <c r="H255" t="e" vm="15">
        <v>#VALUE!</v>
      </c>
      <c r="I255" t="e" cm="1" vm="16">
        <f t="array" ref="I255">_FV(H255,"Country/region",TRUE)</f>
        <v>#VALUE!</v>
      </c>
      <c r="J255" t="s">
        <v>22</v>
      </c>
      <c r="K255" t="s">
        <v>11</v>
      </c>
      <c r="L255" t="s">
        <v>17</v>
      </c>
      <c r="M255">
        <f>Table1[[#This Row],[Price]]*Table1[[#This Row],[Quantity]]</f>
        <v>2202.19</v>
      </c>
    </row>
    <row r="256" spans="2:13" x14ac:dyDescent="0.3">
      <c r="B256" s="3">
        <v>10713</v>
      </c>
      <c r="C256" s="4">
        <v>44924</v>
      </c>
      <c r="D256" t="s">
        <v>12</v>
      </c>
      <c r="E256" s="3">
        <v>2.95</v>
      </c>
      <c r="F256" s="19">
        <v>678</v>
      </c>
      <c r="G256" s="3">
        <v>0.47</v>
      </c>
      <c r="H256" t="e" vm="15">
        <v>#VALUE!</v>
      </c>
      <c r="I256" t="e" cm="1" vm="16">
        <f t="array" ref="I256">_FV(H256,"Country/region",TRUE)</f>
        <v>#VALUE!</v>
      </c>
      <c r="J256" t="s">
        <v>22</v>
      </c>
      <c r="K256" t="s">
        <v>11</v>
      </c>
      <c r="L256" t="s">
        <v>17</v>
      </c>
      <c r="M256">
        <f>Table1[[#This Row],[Price]]*Table1[[#This Row],[Quantity]]</f>
        <v>2000.1000000000001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E28F7-5705-AE4C-BFDA-27907EF068D8}">
  <dimension ref="B2:K21"/>
  <sheetViews>
    <sheetView showGridLines="0" tabSelected="1" workbookViewId="0">
      <selection activeCell="E24" sqref="E24"/>
    </sheetView>
  </sheetViews>
  <sheetFormatPr defaultColWidth="10.69921875" defaultRowHeight="15.6" x14ac:dyDescent="0.3"/>
  <cols>
    <col min="1" max="1" width="4.19921875" customWidth="1"/>
    <col min="8" max="8" width="12.296875" bestFit="1" customWidth="1"/>
    <col min="9" max="9" width="14.5" bestFit="1" customWidth="1"/>
    <col min="11" max="11" width="14.5" bestFit="1" customWidth="1"/>
  </cols>
  <sheetData>
    <row r="2" spans="2:11" x14ac:dyDescent="0.3">
      <c r="B2" s="6" t="s">
        <v>25</v>
      </c>
      <c r="C2" s="6"/>
      <c r="D2" s="6"/>
      <c r="E2" s="6"/>
      <c r="F2" s="6"/>
    </row>
    <row r="3" spans="2:11" x14ac:dyDescent="0.3">
      <c r="H3" s="48" t="s">
        <v>58</v>
      </c>
      <c r="I3" t="s">
        <v>57</v>
      </c>
      <c r="K3" t="s">
        <v>60</v>
      </c>
    </row>
    <row r="4" spans="2:11" x14ac:dyDescent="0.3">
      <c r="B4" s="7" t="s">
        <v>26</v>
      </c>
      <c r="C4" s="8"/>
      <c r="D4" s="8"/>
      <c r="E4" s="8"/>
      <c r="F4" s="8"/>
      <c r="H4" s="14" t="s">
        <v>12</v>
      </c>
      <c r="I4" s="47">
        <v>35666</v>
      </c>
      <c r="K4" s="47">
        <v>812135.12999999872</v>
      </c>
    </row>
    <row r="5" spans="2:11" x14ac:dyDescent="0.3">
      <c r="B5" s="9"/>
      <c r="C5" s="10"/>
      <c r="D5" s="10"/>
      <c r="E5" s="10"/>
      <c r="F5" s="10"/>
      <c r="H5" s="14" t="s">
        <v>9</v>
      </c>
      <c r="I5" s="47">
        <v>32067</v>
      </c>
    </row>
    <row r="6" spans="2:11" x14ac:dyDescent="0.3">
      <c r="B6" s="7" t="s">
        <v>27</v>
      </c>
      <c r="C6" s="8"/>
      <c r="D6" s="8"/>
      <c r="E6" s="8"/>
      <c r="F6" s="8"/>
      <c r="H6" s="14" t="s">
        <v>15</v>
      </c>
      <c r="I6" s="47">
        <v>29572</v>
      </c>
    </row>
    <row r="7" spans="2:11" x14ac:dyDescent="0.3">
      <c r="B7" s="9"/>
      <c r="C7" s="10"/>
      <c r="D7" s="10"/>
      <c r="E7" s="10"/>
      <c r="F7" s="10"/>
      <c r="H7" s="14" t="s">
        <v>18</v>
      </c>
      <c r="I7" s="47">
        <v>11184</v>
      </c>
    </row>
    <row r="8" spans="2:11" x14ac:dyDescent="0.3">
      <c r="B8" s="7" t="s">
        <v>28</v>
      </c>
      <c r="C8" s="8"/>
      <c r="D8" s="8"/>
      <c r="E8" s="8"/>
      <c r="F8" s="8"/>
      <c r="H8" s="14" t="s">
        <v>13</v>
      </c>
      <c r="I8" s="47">
        <v>10050</v>
      </c>
    </row>
    <row r="9" spans="2:11" x14ac:dyDescent="0.3">
      <c r="H9" s="14" t="s">
        <v>59</v>
      </c>
      <c r="I9" s="47">
        <v>118539</v>
      </c>
    </row>
    <row r="11" spans="2:11" x14ac:dyDescent="0.3">
      <c r="H11" s="48" t="s">
        <v>58</v>
      </c>
      <c r="I11" t="s">
        <v>60</v>
      </c>
    </row>
    <row r="12" spans="2:11" x14ac:dyDescent="0.3">
      <c r="H12" s="14" t="s">
        <v>16</v>
      </c>
      <c r="I12" s="49">
        <v>0.49722371940738486</v>
      </c>
    </row>
    <row r="13" spans="2:11" x14ac:dyDescent="0.3">
      <c r="H13" s="14" t="s">
        <v>23</v>
      </c>
      <c r="I13" s="49">
        <v>0.29489445925088847</v>
      </c>
    </row>
    <row r="14" spans="2:11" x14ac:dyDescent="0.3">
      <c r="H14" s="14" t="s">
        <v>11</v>
      </c>
      <c r="I14" s="49">
        <v>0.20788182134172675</v>
      </c>
    </row>
    <row r="15" spans="2:11" x14ac:dyDescent="0.3">
      <c r="H15" s="14" t="s">
        <v>59</v>
      </c>
      <c r="I15" s="49">
        <v>1</v>
      </c>
    </row>
    <row r="21" spans="2:2" x14ac:dyDescent="0.3">
      <c r="B21" t="s">
        <v>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0B8293-E880-CE4A-9EE3-6AAA7A8A1B8F}">
  <dimension ref="B2:J14"/>
  <sheetViews>
    <sheetView showGridLines="0" workbookViewId="0"/>
  </sheetViews>
  <sheetFormatPr defaultColWidth="10.69921875" defaultRowHeight="15.6" x14ac:dyDescent="0.3"/>
  <cols>
    <col min="2" max="2" width="17.5" customWidth="1"/>
    <col min="3" max="3" width="11.296875" customWidth="1"/>
  </cols>
  <sheetData>
    <row r="2" spans="2:10" x14ac:dyDescent="0.3">
      <c r="B2" s="11" t="s">
        <v>29</v>
      </c>
      <c r="C2" s="12" t="s">
        <v>20</v>
      </c>
      <c r="J2" s="18" t="s">
        <v>24</v>
      </c>
    </row>
    <row r="3" spans="2:10" x14ac:dyDescent="0.3">
      <c r="J3" s="18" t="s">
        <v>20</v>
      </c>
    </row>
    <row r="4" spans="2:10" x14ac:dyDescent="0.3">
      <c r="B4" s="43" t="s">
        <v>30</v>
      </c>
      <c r="C4" s="43"/>
      <c r="J4" s="18" t="s">
        <v>21</v>
      </c>
    </row>
    <row r="5" spans="2:10" x14ac:dyDescent="0.3">
      <c r="B5" t="s">
        <v>31</v>
      </c>
      <c r="C5" t="e" vm="12">
        <f>_xlfn.XLOOKUP(C2,Table1[Manager],Table1[Country])</f>
        <v>#VALUE!</v>
      </c>
      <c r="J5" s="18" t="s">
        <v>17</v>
      </c>
    </row>
    <row r="6" spans="2:10" x14ac:dyDescent="0.3">
      <c r="B6" t="s">
        <v>8</v>
      </c>
      <c r="C6" t="e" vm="11">
        <f>_xlfn.XLOOKUP(C2,Table1[Manager],Table1[City])</f>
        <v>#VALUE!</v>
      </c>
      <c r="J6" s="18" t="s">
        <v>19</v>
      </c>
    </row>
    <row r="7" spans="2:10" x14ac:dyDescent="0.3">
      <c r="C7" s="13"/>
    </row>
    <row r="8" spans="2:10" x14ac:dyDescent="0.3">
      <c r="B8" s="43" t="s">
        <v>32</v>
      </c>
      <c r="C8" s="43"/>
    </row>
    <row r="9" spans="2:10" x14ac:dyDescent="0.3">
      <c r="B9" s="14" t="s">
        <v>9</v>
      </c>
      <c r="C9" s="15">
        <f>SUMIFS(Table1[Revenue],Table1[Product],Findings!B9,Table1[Manager],Findings!$C$2)</f>
        <v>17219.660000000003</v>
      </c>
    </row>
    <row r="10" spans="2:10" x14ac:dyDescent="0.3">
      <c r="B10" s="14" t="s">
        <v>12</v>
      </c>
      <c r="C10" s="15">
        <f>SUMIFS(Table1[Revenue],Table1[Product],Findings!B10,Table1[Manager],Findings!$C$2)</f>
        <v>18402.100000000002</v>
      </c>
    </row>
    <row r="11" spans="2:10" x14ac:dyDescent="0.3">
      <c r="B11" s="14" t="s">
        <v>13</v>
      </c>
      <c r="C11" s="15">
        <f>SUMIFS(Table1[Revenue],Table1[Product],Findings!B11,Table1[Manager],Findings!$C$2)</f>
        <v>9026.91</v>
      </c>
    </row>
    <row r="12" spans="2:10" x14ac:dyDescent="0.3">
      <c r="B12" s="14" t="s">
        <v>15</v>
      </c>
      <c r="C12" s="15">
        <f>SUMIFS(Table1[Revenue],Table1[Product],Findings!B12,Table1[Manager],Findings!$C$2)</f>
        <v>73692.27</v>
      </c>
    </row>
    <row r="13" spans="2:10" x14ac:dyDescent="0.3">
      <c r="B13" s="14" t="s">
        <v>18</v>
      </c>
      <c r="C13" s="15">
        <f>SUMIFS(Table1[Revenue],Table1[Product],Findings!B13,Table1[Manager],Findings!$C$2)</f>
        <v>18089.099999999999</v>
      </c>
    </row>
    <row r="14" spans="2:10" x14ac:dyDescent="0.3">
      <c r="B14" s="16" t="s">
        <v>33</v>
      </c>
      <c r="C14" s="17">
        <f>SUM(C9:C13)</f>
        <v>136430.04</v>
      </c>
    </row>
  </sheetData>
  <mergeCells count="2">
    <mergeCell ref="B4:C4"/>
    <mergeCell ref="B8:C8"/>
  </mergeCells>
  <conditionalFormatting sqref="C9:C13">
    <cfRule type="dataBar" priority="1">
      <dataBar>
        <cfvo type="min"/>
        <cfvo type="max"/>
        <color rgb="FF63C384"/>
      </dataBar>
      <extLst>
        <ext xmlns:x14="http://schemas.microsoft.com/office/spreadsheetml/2009/9/main" uri="{B025F937-C7B1-47D3-B67F-A62EFF666E3E}">
          <x14:id>{0A7EABF2-F53D-E041-9FF8-359C764CF9C5}</x14:id>
        </ext>
      </extLst>
    </cfRule>
  </conditionalFormatting>
  <dataValidations count="1">
    <dataValidation type="list" allowBlank="1" showInputMessage="1" showErrorMessage="1" sqref="C2" xr:uid="{F46D7767-1BD9-AC49-8E23-A6B1FC0639A5}">
      <formula1>$J$2:$J$6</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0A7EABF2-F53D-E041-9FF8-359C764CF9C5}">
            <x14:dataBar minLength="0" maxLength="100" border="1" negativeBarBorderColorSameAsPositive="0">
              <x14:cfvo type="autoMin"/>
              <x14:cfvo type="autoMax"/>
              <x14:borderColor rgb="FF63C384"/>
              <x14:negativeFillColor rgb="FFFF0000"/>
              <x14:negativeBorderColor rgb="FFFF0000"/>
              <x14:axisColor rgb="FF000000"/>
            </x14:dataBar>
          </x14:cfRule>
          <xm:sqref>C9:C13</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vt:lpstr>
      <vt:lpstr>Raw</vt:lpstr>
      <vt:lpstr>Clean</vt:lpstr>
      <vt:lpstr>Analysis</vt:lpstr>
      <vt:lpstr>Findings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HURUN 'AIN BINTI IDIMAZHAR</cp:lastModifiedBy>
  <dcterms:created xsi:type="dcterms:W3CDTF">2023-02-14T11:15:23Z</dcterms:created>
  <dcterms:modified xsi:type="dcterms:W3CDTF">2026-09-28T08:51:08Z</dcterms:modified>
</cp:coreProperties>
</file>