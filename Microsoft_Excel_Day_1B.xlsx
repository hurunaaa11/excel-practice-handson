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autoCompressPictures="0"/>
  <xr:revisionPtr revIDLastSave="1" documentId="13_ncr:1_{AD9B933A-29AD-487E-8673-B7B2EC4B7D6E}" xr6:coauthVersionLast="47" xr6:coauthVersionMax="47" xr10:uidLastSave="{4E8FE420-0DBC-4945-8AA5-CCF9657DEF54}"/>
  <bookViews>
    <workbookView xWindow="-108" yWindow="-108" windowWidth="23256" windowHeight="12456" tabRatio="958" firstSheet="6" activeTab="11" xr2:uid="{00000000-000D-0000-FFFF-FFFF00000000}"/>
  </bookViews>
  <sheets>
    <sheet name="2021-2022" sheetId="1" r:id="rId1"/>
    <sheet name="NamedRange" sheetId="12" r:id="rId2"/>
    <sheet name="Absolute Reference" sheetId="11" r:id="rId3"/>
    <sheet name="CountifSumif" sheetId="2" r:id="rId4"/>
    <sheet name="COUNTIF" sheetId="7" r:id="rId5"/>
    <sheet name="SUMIF" sheetId="6" r:id="rId6"/>
    <sheet name="AVERAGE&amp;AVERAGEIF" sheetId="8" r:id="rId7"/>
    <sheet name="Hlookup-vlookup" sheetId="3" r:id="rId8"/>
    <sheet name="Exercise 1" sheetId="9" r:id="rId9"/>
    <sheet name="Exercise 2" sheetId="10" r:id="rId10"/>
    <sheet name="Date1" sheetId="4" r:id="rId11"/>
    <sheet name="Date 2" sheetId="5" r:id="rId12"/>
  </sheets>
  <definedNames>
    <definedName name="championLeague">SUMIF!$D$4:$D$12</definedName>
    <definedName name="country">SUMIF!$C$4:$C$12</definedName>
    <definedName name="FirstName">CountifSumif!$A$5:$A$106</definedName>
    <definedName name="GradePoint">'Hlookup-vlookup'!$H$5:$I$11</definedName>
    <definedName name="LastName">CountifSumif!$A$5:$A$106</definedName>
    <definedName name="Manager">CountifSumif!$D$5:$D$106</definedName>
    <definedName name="Region">CountifSumif!$C$5:$C$106</definedName>
    <definedName name="team">SUMIF!$B$4:$B$12</definedName>
    <definedName name="Total">CountifSumif!$I$5:$I$106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B9" i="5"/>
  <c r="B10" i="5"/>
  <c r="B8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B27" i="4"/>
  <c r="B28" i="4" s="1"/>
  <c r="B20" i="4"/>
  <c r="B21" i="4" s="1"/>
  <c r="B13" i="4"/>
  <c r="B15" i="4" s="1"/>
  <c r="C5" i="4"/>
  <c r="C6" i="4"/>
  <c r="C10" i="4"/>
  <c r="C9" i="4"/>
  <c r="C7" i="4"/>
  <c r="C8" i="4"/>
  <c r="D3" i="3"/>
  <c r="D4" i="3"/>
  <c r="D5" i="3"/>
  <c r="D6" i="3"/>
  <c r="D7" i="3"/>
  <c r="D8" i="3"/>
  <c r="D9" i="3"/>
  <c r="D10" i="3"/>
  <c r="D11" i="3"/>
  <c r="D12" i="3"/>
  <c r="D14" i="3"/>
  <c r="D15" i="3"/>
  <c r="D2" i="3"/>
  <c r="F13" i="8"/>
  <c r="E13" i="8"/>
  <c r="I5" i="6"/>
  <c r="J10" i="6"/>
  <c r="K11" i="7"/>
  <c r="K10" i="7"/>
  <c r="J11" i="7"/>
  <c r="J10" i="7"/>
  <c r="I5" i="7"/>
  <c r="I6" i="7"/>
  <c r="N14" i="2"/>
  <c r="N7" i="2"/>
  <c r="R3" i="2"/>
  <c r="P3" i="2"/>
  <c r="N3" i="2"/>
  <c r="R1" i="2"/>
  <c r="P1" i="2"/>
  <c r="N1" i="2"/>
  <c r="K3" i="2"/>
  <c r="K1" i="2"/>
  <c r="C2" i="11" a="1"/>
  <c r="C2" i="11" s="1"/>
  <c r="I6" i="12"/>
  <c r="I7" i="12"/>
  <c r="I8" i="12"/>
  <c r="I5" i="12"/>
  <c r="H5" i="12"/>
  <c r="H6" i="12"/>
  <c r="H7" i="12"/>
  <c r="H8" i="12"/>
  <c r="H9" i="12"/>
  <c r="G6" i="12"/>
  <c r="G7" i="12"/>
  <c r="G8" i="12"/>
  <c r="G5" i="12"/>
  <c r="F6" i="12"/>
  <c r="F7" i="12"/>
  <c r="F8" i="12"/>
  <c r="F5" i="12"/>
  <c r="F13" i="6"/>
  <c r="E13" i="6"/>
  <c r="B29" i="4" l="1"/>
  <c r="B22" i="4"/>
  <c r="B14" i="4"/>
  <c r="I106" i="2"/>
  <c r="I104" i="2"/>
  <c r="I102" i="2"/>
  <c r="I100" i="2"/>
  <c r="I98" i="2"/>
  <c r="I96" i="2"/>
  <c r="I94" i="2"/>
  <c r="I92" i="2"/>
  <c r="I90" i="2"/>
  <c r="I88" i="2"/>
  <c r="I86" i="2"/>
  <c r="I84" i="2"/>
  <c r="I82" i="2"/>
  <c r="I80" i="2"/>
  <c r="I78" i="2"/>
  <c r="I76" i="2"/>
  <c r="I74" i="2"/>
  <c r="I72" i="2"/>
  <c r="I70" i="2"/>
  <c r="I68" i="2"/>
  <c r="I66" i="2"/>
  <c r="I64" i="2"/>
  <c r="I62" i="2"/>
  <c r="I60" i="2"/>
  <c r="I58" i="2"/>
  <c r="I56" i="2"/>
  <c r="I54" i="2"/>
  <c r="I52" i="2"/>
  <c r="I50" i="2"/>
  <c r="I48" i="2"/>
  <c r="I46" i="2"/>
  <c r="I44" i="2"/>
  <c r="I42" i="2"/>
  <c r="I40" i="2"/>
  <c r="I38" i="2"/>
  <c r="I36" i="2"/>
  <c r="I34" i="2"/>
  <c r="I32" i="2"/>
  <c r="I30" i="2"/>
  <c r="I28" i="2"/>
  <c r="I26" i="2"/>
  <c r="I24" i="2"/>
  <c r="I22" i="2"/>
  <c r="I20" i="2"/>
  <c r="I18" i="2"/>
  <c r="I16" i="2"/>
  <c r="I14" i="2"/>
  <c r="I12" i="2"/>
  <c r="I10" i="2"/>
  <c r="I8" i="2"/>
  <c r="I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<sst xmlns="http://schemas.openxmlformats.org/spreadsheetml/2006/main" count="564" uniqueCount="334">
  <si>
    <t>Salesperson</t>
  </si>
  <si>
    <t>Post, Melissa</t>
  </si>
  <si>
    <t>Walters, Chris</t>
  </si>
  <si>
    <t>Davis, William</t>
  </si>
  <si>
    <t>Brennan, Michael</t>
  </si>
  <si>
    <t>Albertson, Kathy</t>
  </si>
  <si>
    <t>Flores, Tia</t>
  </si>
  <si>
    <t>Dumlao, Richard</t>
  </si>
  <si>
    <t>Thompson, Shannon</t>
  </si>
  <si>
    <t>Allenson, Carol</t>
  </si>
  <si>
    <t>Altman, Zoey</t>
  </si>
  <si>
    <t>Bittiman, William</t>
  </si>
  <si>
    <t>Carlson, David</t>
  </si>
  <si>
    <t>Collman, Harry</t>
  </si>
  <si>
    <t>Counts, Elizabeth</t>
  </si>
  <si>
    <t>David, Chloe</t>
  </si>
  <si>
    <t>Farmer, Kim</t>
  </si>
  <si>
    <t>Ferguson, Elizabeth</t>
  </si>
  <si>
    <t>Ford, Victor</t>
  </si>
  <si>
    <t>Hodges, Melissa</t>
  </si>
  <si>
    <t>Jameson, Robinson</t>
  </si>
  <si>
    <t>Kellerman, Frances</t>
  </si>
  <si>
    <t>Mark, Katharine</t>
  </si>
  <si>
    <t>Morrison, Thomas</t>
  </si>
  <si>
    <t>Moss, Pete</t>
  </si>
  <si>
    <t>Paul, Henry David</t>
  </si>
  <si>
    <t>Robinson, Betty</t>
  </si>
  <si>
    <t>Shadow, Elizabeth</t>
  </si>
  <si>
    <t>Smith, Harold</t>
  </si>
  <si>
    <t>Thomas, Robert</t>
  </si>
  <si>
    <t>Zimmerman, Kate</t>
  </si>
  <si>
    <t>2021-2022 Sales Data</t>
  </si>
  <si>
    <r>
      <t>Benjamin of Brussels</t>
    </r>
    <r>
      <rPr>
        <sz val="10"/>
        <color indexed="10"/>
        <rFont val="Arial"/>
        <family val="2"/>
      </rPr>
      <t xml:space="preserve">
</t>
    </r>
    <r>
      <rPr>
        <sz val="14"/>
        <color indexed="10"/>
        <rFont val="Arial"/>
        <family val="2"/>
      </rPr>
      <t>International Chocolate Distributors, Inc.</t>
    </r>
  </si>
  <si>
    <t>Number of Employees</t>
  </si>
  <si>
    <t>Count region (East)</t>
  </si>
  <si>
    <t>Count region (South)</t>
  </si>
  <si>
    <t>Count region (Midwest)</t>
  </si>
  <si>
    <t>U.S. Sales</t>
  </si>
  <si>
    <t>Data with Region Information</t>
  </si>
  <si>
    <t>Count region (West)</t>
  </si>
  <si>
    <t>Count region (North)</t>
  </si>
  <si>
    <t>Count region (Southwest)</t>
  </si>
  <si>
    <t>Last Name</t>
  </si>
  <si>
    <t>First Name</t>
  </si>
  <si>
    <t>Region</t>
  </si>
  <si>
    <t>Manager</t>
  </si>
  <si>
    <t>Qtr 1</t>
  </si>
  <si>
    <t>Qtr 2</t>
  </si>
  <si>
    <t>Qtr 3</t>
  </si>
  <si>
    <t>Qtr 4</t>
  </si>
  <si>
    <t>Total</t>
  </si>
  <si>
    <t>Arman</t>
  </si>
  <si>
    <t>Simon</t>
  </si>
  <si>
    <t>East</t>
  </si>
  <si>
    <t>Ellen</t>
  </si>
  <si>
    <t>Total Count</t>
  </si>
  <si>
    <t>Bartholomew</t>
  </si>
  <si>
    <t>Barbara</t>
  </si>
  <si>
    <t>Mark</t>
  </si>
  <si>
    <t>Childs</t>
  </si>
  <si>
    <t>Alice</t>
  </si>
  <si>
    <t>West</t>
  </si>
  <si>
    <t>Phil</t>
  </si>
  <si>
    <t>Greenburg</t>
  </si>
  <si>
    <t>Linda</t>
  </si>
  <si>
    <t>Alicia</t>
  </si>
  <si>
    <t>Total Sales</t>
  </si>
  <si>
    <t>Lundquist</t>
  </si>
  <si>
    <t>Sam</t>
  </si>
  <si>
    <t>North</t>
  </si>
  <si>
    <t>McTague</t>
  </si>
  <si>
    <t>Michael</t>
  </si>
  <si>
    <t>Northwest</t>
  </si>
  <si>
    <t>Quayle</t>
  </si>
  <si>
    <t>Antonio</t>
  </si>
  <si>
    <t>Jack</t>
  </si>
  <si>
    <t>Rivena</t>
  </si>
  <si>
    <t>Orlando</t>
  </si>
  <si>
    <t>South</t>
  </si>
  <si>
    <t>Stark</t>
  </si>
  <si>
    <t>Oscar</t>
  </si>
  <si>
    <t>Unger</t>
  </si>
  <si>
    <t>Maria</t>
  </si>
  <si>
    <t>Southwest</t>
  </si>
  <si>
    <t>Hanover</t>
  </si>
  <si>
    <t>Caroline</t>
  </si>
  <si>
    <t>Jaen</t>
  </si>
  <si>
    <t>Enrique</t>
  </si>
  <si>
    <t>Monder</t>
  </si>
  <si>
    <t>Alana</t>
  </si>
  <si>
    <t>Innoue</t>
  </si>
  <si>
    <t>Chika</t>
  </si>
  <si>
    <t>Ryan</t>
  </si>
  <si>
    <t>Maureen</t>
  </si>
  <si>
    <t>Midwest</t>
  </si>
  <si>
    <t>Simmonds</t>
  </si>
  <si>
    <t>Leon</t>
  </si>
  <si>
    <t>Clark</t>
  </si>
  <si>
    <t>John</t>
  </si>
  <si>
    <t>Rapp</t>
  </si>
  <si>
    <t>Amanda</t>
  </si>
  <si>
    <t>Booth</t>
  </si>
  <si>
    <t>Cathy</t>
  </si>
  <si>
    <t>Diehl</t>
  </si>
  <si>
    <t>Jim</t>
  </si>
  <si>
    <t>Smith</t>
  </si>
  <si>
    <t>Elizabeth</t>
  </si>
  <si>
    <t>Merkley</t>
  </si>
  <si>
    <t>Katie</t>
  </si>
  <si>
    <t>Cuzens</t>
  </si>
  <si>
    <t>Beth</t>
  </si>
  <si>
    <t>Saylor</t>
  </si>
  <si>
    <t>Rachel</t>
  </si>
  <si>
    <t>Wilson</t>
  </si>
  <si>
    <t>Tom</t>
  </si>
  <si>
    <t>Hartson</t>
  </si>
  <si>
    <t>Sue</t>
  </si>
  <si>
    <t>Sandler</t>
  </si>
  <si>
    <t>Cheryl</t>
  </si>
  <si>
    <t>Silkey</t>
  </si>
  <si>
    <t>Marilyn</t>
  </si>
  <si>
    <t>Neff</t>
  </si>
  <si>
    <t>Chris</t>
  </si>
  <si>
    <t>Hyder</t>
  </si>
  <si>
    <t>Jeff</t>
  </si>
  <si>
    <t>Schwab</t>
  </si>
  <si>
    <t>Jan</t>
  </si>
  <si>
    <t>Huntt</t>
  </si>
  <si>
    <t>Marcia</t>
  </si>
  <si>
    <t>Mosher</t>
  </si>
  <si>
    <t>Lori</t>
  </si>
  <si>
    <t>Watts</t>
  </si>
  <si>
    <t>Jeannine</t>
  </si>
  <si>
    <t>Chan</t>
  </si>
  <si>
    <t>Caryl</t>
  </si>
  <si>
    <t>Turk</t>
  </si>
  <si>
    <t>Peter</t>
  </si>
  <si>
    <t>Hack</t>
  </si>
  <si>
    <t>Greg</t>
  </si>
  <si>
    <t>Hartman</t>
  </si>
  <si>
    <t>Bob</t>
  </si>
  <si>
    <t>French</t>
  </si>
  <si>
    <t>Frank</t>
  </si>
  <si>
    <t>Miller</t>
  </si>
  <si>
    <t>George</t>
  </si>
  <si>
    <t>Harley</t>
  </si>
  <si>
    <t>Steif</t>
  </si>
  <si>
    <t>Kress</t>
  </si>
  <si>
    <t>Foster</t>
  </si>
  <si>
    <t>Christine</t>
  </si>
  <si>
    <t>Russo</t>
  </si>
  <si>
    <t>Jon</t>
  </si>
  <si>
    <t>Preston</t>
  </si>
  <si>
    <t>Joy</t>
  </si>
  <si>
    <t>Decker</t>
  </si>
  <si>
    <t>Janet</t>
  </si>
  <si>
    <t>Hurley</t>
  </si>
  <si>
    <t>Arica</t>
  </si>
  <si>
    <t>Chaffee</t>
  </si>
  <si>
    <t>Angela</t>
  </si>
  <si>
    <t>Schimkee</t>
  </si>
  <si>
    <t>Adam</t>
  </si>
  <si>
    <t>Gail</t>
  </si>
  <si>
    <t>Womble</t>
  </si>
  <si>
    <t>Anna</t>
  </si>
  <si>
    <t>Name</t>
  </si>
  <si>
    <t>Course</t>
  </si>
  <si>
    <t>Marks</t>
  </si>
  <si>
    <t>Grade</t>
  </si>
  <si>
    <t>Prize Money</t>
  </si>
  <si>
    <t>Software Engineering</t>
  </si>
  <si>
    <t>Sparrow</t>
  </si>
  <si>
    <t>Accounting</t>
  </si>
  <si>
    <t>Hally</t>
  </si>
  <si>
    <t>Business Management</t>
  </si>
  <si>
    <t>Berry</t>
  </si>
  <si>
    <t>D</t>
  </si>
  <si>
    <t>English</t>
  </si>
  <si>
    <t>C</t>
  </si>
  <si>
    <t>Cruise</t>
  </si>
  <si>
    <t>Literature</t>
  </si>
  <si>
    <t>C+</t>
  </si>
  <si>
    <t>Julia</t>
  </si>
  <si>
    <t>B</t>
  </si>
  <si>
    <t>Roberts</t>
  </si>
  <si>
    <t>Medicine</t>
  </si>
  <si>
    <t>B+</t>
  </si>
  <si>
    <t xml:space="preserve">Will </t>
  </si>
  <si>
    <t>A</t>
  </si>
  <si>
    <t>A+</t>
  </si>
  <si>
    <t>Levine</t>
  </si>
  <si>
    <t>Jackson</t>
  </si>
  <si>
    <t>DATE FUNCTIONS 1</t>
  </si>
  <si>
    <t>Today(), Now(), Day(), Month(), Year(), Date(),Edate()</t>
  </si>
  <si>
    <t>Function</t>
  </si>
  <si>
    <t>Date</t>
  </si>
  <si>
    <t>Formula</t>
  </si>
  <si>
    <t>Today</t>
  </si>
  <si>
    <t>Now</t>
  </si>
  <si>
    <t>Day</t>
  </si>
  <si>
    <t>Month</t>
  </si>
  <si>
    <t>Year</t>
  </si>
  <si>
    <t>Add/Subtract Days</t>
  </si>
  <si>
    <t>Date + 5 days</t>
  </si>
  <si>
    <t>Date - 5 days</t>
  </si>
  <si>
    <t>Add/Subtract Months</t>
  </si>
  <si>
    <t>EDATE</t>
  </si>
  <si>
    <t>Date + 10 months</t>
  </si>
  <si>
    <t>Date - 10 months</t>
  </si>
  <si>
    <t>Add/Subtract Years</t>
  </si>
  <si>
    <t>Date + 10 years</t>
  </si>
  <si>
    <t>Date - 10 years</t>
  </si>
  <si>
    <t>DATE FUNCTIONS 2</t>
  </si>
  <si>
    <t>NetworkDays, NetworkDays.intl, Date vs Days</t>
  </si>
  <si>
    <t>Start Date</t>
  </si>
  <si>
    <t>End Date</t>
  </si>
  <si>
    <t>Holidays</t>
  </si>
  <si>
    <t>Dates</t>
  </si>
  <si>
    <t>Hari Raya</t>
  </si>
  <si>
    <t>Networkdays</t>
  </si>
  <si>
    <t>Networkdays minus holidays</t>
  </si>
  <si>
    <t>Networkdays.intl</t>
  </si>
  <si>
    <t xml:space="preserve">Team </t>
  </si>
  <si>
    <t>Country</t>
  </si>
  <si>
    <t>Champions league</t>
  </si>
  <si>
    <t>Games played</t>
  </si>
  <si>
    <t>Points earned</t>
  </si>
  <si>
    <t>Borussia</t>
  </si>
  <si>
    <t>Germany</t>
  </si>
  <si>
    <t>Yes</t>
  </si>
  <si>
    <t>Milan</t>
  </si>
  <si>
    <t>Italy</t>
  </si>
  <si>
    <t>Manchester United</t>
  </si>
  <si>
    <t>England</t>
  </si>
  <si>
    <t>Hamburger</t>
  </si>
  <si>
    <t>No</t>
  </si>
  <si>
    <t>Lazio</t>
  </si>
  <si>
    <t>Fiorentina</t>
  </si>
  <si>
    <t>Bayern</t>
  </si>
  <si>
    <t>Liverpool</t>
  </si>
  <si>
    <t>Arsenal</t>
  </si>
  <si>
    <t>Total Games Played</t>
  </si>
  <si>
    <t>Total Points Earned</t>
  </si>
  <si>
    <t>Criteria</t>
  </si>
  <si>
    <t>&gt;60 Point</t>
  </si>
  <si>
    <t>&lt;60 Point</t>
  </si>
  <si>
    <t>COUNTIF</t>
  </si>
  <si>
    <t>SUMIF</t>
  </si>
  <si>
    <t>Points Earned</t>
  </si>
  <si>
    <t>n.a.</t>
  </si>
  <si>
    <t>Average of participate in champion league</t>
  </si>
  <si>
    <t>Raw Data Extract</t>
  </si>
  <si>
    <t>Pay Report</t>
  </si>
  <si>
    <t>Employee ID</t>
  </si>
  <si>
    <t>Pay</t>
  </si>
  <si>
    <t>Doe</t>
  </si>
  <si>
    <t>Cline</t>
  </si>
  <si>
    <t>Andy</t>
  </si>
  <si>
    <t>Pan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</si>
  <si>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</si>
  <si>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</si>
  <si>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</si>
  <si>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</si>
  <si>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</si>
  <si>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</si>
  <si>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</si>
  <si>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</si>
  <si>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</si>
  <si>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</si>
  <si>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Tony</t>
  </si>
  <si>
    <t>Williams</t>
  </si>
  <si>
    <t>Prince</t>
  </si>
  <si>
    <t>Pitt</t>
  </si>
  <si>
    <t>Brad</t>
  </si>
  <si>
    <t>Pay Band Table</t>
  </si>
  <si>
    <t>Pay Min</t>
  </si>
  <si>
    <t>Pay Band</t>
  </si>
  <si>
    <t>Level A</t>
  </si>
  <si>
    <t>Level B</t>
  </si>
  <si>
    <t>Level C</t>
  </si>
  <si>
    <t>Level D</t>
  </si>
  <si>
    <t>Level E</t>
  </si>
  <si>
    <t>AVERAGE &amp; AVERAGEIF</t>
  </si>
  <si>
    <t>Trainers</t>
  </si>
  <si>
    <t>Pokeballs</t>
  </si>
  <si>
    <t>Cost</t>
  </si>
  <si>
    <t>Iva</t>
  </si>
  <si>
    <t>Liam</t>
  </si>
  <si>
    <t>Pablo</t>
  </si>
  <si>
    <t>Jenny</t>
  </si>
  <si>
    <t>Iben</t>
  </si>
  <si>
    <t>Kasper</t>
  </si>
  <si>
    <t>Price</t>
  </si>
  <si>
    <t>Our Global Company</t>
  </si>
  <si>
    <t>Sales Performance, Prior Fiscal Year</t>
  </si>
  <si>
    <t>Tax Rate</t>
  </si>
  <si>
    <t>Sales Group:</t>
  </si>
  <si>
    <t>Quarter1</t>
  </si>
  <si>
    <t>Quarter2</t>
  </si>
  <si>
    <t>Quarter3</t>
  </si>
  <si>
    <t>Quarter4</t>
  </si>
  <si>
    <t>Tax</t>
  </si>
  <si>
    <t>Northeast</t>
  </si>
  <si>
    <t>Southeast</t>
  </si>
  <si>
    <t>TOTAL</t>
  </si>
  <si>
    <t>East Coast Sales:</t>
  </si>
  <si>
    <t>West Coast Sales:</t>
  </si>
  <si>
    <t>Bonus</t>
  </si>
  <si>
    <t>Champions League</t>
  </si>
  <si>
    <t>&gt;60</t>
  </si>
  <si>
    <t>KPI</t>
  </si>
  <si>
    <t>New Year</t>
  </si>
  <si>
    <t>Chinese New Year</t>
  </si>
  <si>
    <t>Column1</t>
  </si>
  <si>
    <t>Thaipusam</t>
  </si>
  <si>
    <t>Labour Day</t>
  </si>
  <si>
    <t>Wesak Day</t>
  </si>
  <si>
    <t>Hari Raya Haji</t>
  </si>
  <si>
    <t>Georgetown heritage city day</t>
  </si>
  <si>
    <t>Penang Governor's Birthday</t>
  </si>
  <si>
    <t>Awal Muharam</t>
  </si>
  <si>
    <t xml:space="preserve">Merdeka  </t>
  </si>
  <si>
    <t>Malaysia Day</t>
  </si>
  <si>
    <t>Phophet Muhammad's Birthday</t>
  </si>
  <si>
    <t>Deepavali</t>
  </si>
  <si>
    <t>Christmas Day</t>
  </si>
  <si>
    <t>TARGET 8412</t>
  </si>
  <si>
    <t>RM50.00</t>
  </si>
  <si>
    <t>RM50.01</t>
  </si>
  <si>
    <t>RM50.02</t>
  </si>
  <si>
    <t>RM50.03</t>
  </si>
  <si>
    <t>RM50.04</t>
  </si>
  <si>
    <t>RM50.05</t>
  </si>
  <si>
    <t>RM50.06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</si>
</sst>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7" formatCode="&quot;$&quot;#,##0.00_);\(&quot;$&quot;#,##0.00\)"/>
    <numFmt numFmtId="44" formatCode="_(&quot;$&quot;* #,##0.00_);_(&quot;$&quot;* \(#,##0.00\);_(&quot;$&quot;* &quot;-&quot;??_);_(@_)"/>
    <numFmt numFmtId="164" formatCode="_-&quot;RM&quot;* #,##0.00_-;\-&quot;RM&quot;* #,##0.00_-;_-&quot;RM&quot;* &quot;-&quot;??_-;_-@_-"/>
    <numFmt numFmtId="165" formatCode="&quot;$&quot;#,##0.00"/>
    <numFmt numFmtId="166" formatCode="mmm\ yyyy"/>
    <numFmt numFmtId="167" formatCode="&quot;RM&quot;#,##0_);[Red]\(&quot;RM&quot;#,##0\)"/>
    <numFmt numFmtId="168" formatCode="&quot;RM&quot;#,##0.00"/>
    <numFmt numFmtId="169" formatCode="dddd"/>
    <numFmt numFmtId="170" formatCode="&quot;$&quot;#,##0_);\(&quot;$&quot;#,##0\);&quot;$&quot;0_)"/>
    <numFmt numFmtId="171" formatCode="_(&quot;$&quot;* #,##0_);_(&quot;$&quot;* \(#,##0\);_(&quot;$&quot;* &quot;-&quot;??_);_(@_)"/>
    <numFmt numFmtId="172" formatCode="_-[$$-409]* #,##0.00_ ;_-[$$-409]* \-#,##0.00\ ;_-[$$-409]* &quot;-&quot;??_ ;_-@_ 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8"/>
      <color indexed="10"/>
      <name val="Arial"/>
      <family val="2"/>
    </font>
    <font>
      <sz val="10"/>
      <color indexed="10"/>
      <name val="Arial"/>
      <family val="2"/>
    </font>
    <font>
      <sz val="14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41404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1BD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27CBE"/>
        <bgColor indexed="64"/>
      </patternFill>
    </fill>
    <fill>
      <patternFill patternType="solid">
        <fgColor indexed="4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E9FD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414042"/>
        <bgColor indexed="64"/>
      </patternFill>
    </fill>
    <fill>
      <patternFill patternType="solid">
        <fgColor rgb="FFF1BD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44" fontId="11" fillId="0" borderId="0" applyFont="0" applyFill="0" applyBorder="0" applyAlignment="0" applyProtection="0"/>
    <xf numFmtId="44" fontId="25" fillId="0" borderId="0" applyFont="0" applyFill="0" applyBorder="0" applyAlignment="0" applyProtection="0"/>
    <xf numFmtId="164" fontId="25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  <xf numFmtId="0" fontId="6" fillId="4" borderId="0" xfId="1" applyFill="1" applyAlignment="1">
      <alignment wrapText="1"/>
    </xf>
    <xf numFmtId="0" fontId="10" fillId="0" borderId="0" xfId="1" applyFont="1" applyAlignment="1">
      <alignment wrapText="1"/>
    </xf>
    <xf numFmtId="0" fontId="6" fillId="0" borderId="0" xfId="1"/>
    <xf numFmtId="0" fontId="6" fillId="0" borderId="0" xfId="1" applyAlignment="1">
      <alignment wrapText="1"/>
    </xf>
    <xf numFmtId="0" fontId="10" fillId="0" borderId="0" xfId="1" applyFont="1" applyAlignment="1">
      <alignment horizontal="center" wrapText="1"/>
    </xf>
    <xf numFmtId="7" fontId="6" fillId="0" borderId="0" xfId="1" applyNumberFormat="1"/>
    <xf numFmtId="0" fontId="10" fillId="0" borderId="1" xfId="1" applyFont="1" applyBorder="1" applyAlignment="1">
      <alignment wrapText="1"/>
    </xf>
    <xf numFmtId="44" fontId="6" fillId="0" borderId="0" xfId="1" applyNumberFormat="1" applyAlignment="1">
      <alignment wrapText="1"/>
    </xf>
    <xf numFmtId="0" fontId="11" fillId="0" borderId="0" xfId="1" applyFont="1" applyAlignment="1">
      <alignment wrapText="1"/>
    </xf>
    <xf numFmtId="44" fontId="0" fillId="0" borderId="0" xfId="2" applyFont="1" applyAlignment="1">
      <alignment wrapText="1"/>
    </xf>
    <xf numFmtId="0" fontId="11" fillId="5" borderId="2" xfId="1" applyFont="1" applyFill="1" applyBorder="1" applyAlignment="1">
      <alignment wrapText="1"/>
    </xf>
    <xf numFmtId="0" fontId="6" fillId="5" borderId="2" xfId="1" applyFill="1" applyBorder="1" applyAlignment="1">
      <alignment wrapText="1"/>
    </xf>
    <xf numFmtId="0" fontId="11" fillId="6" borderId="2" xfId="1" applyFont="1" applyFill="1" applyBorder="1" applyAlignment="1">
      <alignment wrapText="1"/>
    </xf>
    <xf numFmtId="0" fontId="6" fillId="6" borderId="2" xfId="1" applyFill="1" applyBorder="1" applyAlignment="1">
      <alignment wrapText="1"/>
    </xf>
    <xf numFmtId="0" fontId="10" fillId="0" borderId="0" xfId="1" applyFont="1" applyAlignment="1">
      <alignment horizontal="right" wrapText="1"/>
    </xf>
    <xf numFmtId="0" fontId="6" fillId="7" borderId="2" xfId="1" applyFill="1" applyBorder="1" applyAlignment="1">
      <alignment wrapText="1"/>
    </xf>
    <xf numFmtId="0" fontId="11" fillId="7" borderId="2" xfId="1" applyFont="1" applyFill="1" applyBorder="1" applyAlignment="1">
      <alignment wrapText="1"/>
    </xf>
    <xf numFmtId="167" fontId="0" fillId="0" borderId="0" xfId="0" applyNumberFormat="1"/>
    <xf numFmtId="168" fontId="0" fillId="0" borderId="0" xfId="0" applyNumberFormat="1"/>
    <xf numFmtId="168" fontId="5" fillId="0" borderId="0" xfId="0" applyNumberFormat="1" applyFont="1"/>
    <xf numFmtId="0" fontId="12" fillId="0" borderId="0" xfId="0" applyFont="1"/>
    <xf numFmtId="0" fontId="13" fillId="8" borderId="0" xfId="0" applyFont="1" applyFill="1"/>
    <xf numFmtId="0" fontId="0" fillId="0" borderId="0" xfId="0" applyAlignment="1">
      <alignment horizontal="center"/>
    </xf>
    <xf numFmtId="14" fontId="0" fillId="9" borderId="0" xfId="0" applyNumberFormat="1" applyFill="1" applyAlignment="1">
      <alignment horizontal="right"/>
    </xf>
    <xf numFmtId="14" fontId="0" fillId="0" borderId="0" xfId="0" applyNumberFormat="1" applyAlignment="1">
      <alignment horizontal="center"/>
    </xf>
    <xf numFmtId="0" fontId="0" fillId="9" borderId="0" xfId="0" applyFill="1" applyAlignment="1">
      <alignment horizontal="right"/>
    </xf>
    <xf numFmtId="14" fontId="0" fillId="0" borderId="0" xfId="0" applyNumberFormat="1"/>
    <xf numFmtId="0" fontId="0" fillId="9" borderId="0" xfId="0" applyFill="1"/>
    <xf numFmtId="0" fontId="13" fillId="5" borderId="0" xfId="0" applyFont="1" applyFill="1"/>
    <xf numFmtId="0" fontId="0" fillId="10" borderId="0" xfId="0" applyFill="1"/>
    <xf numFmtId="14" fontId="0" fillId="10" borderId="0" xfId="0" applyNumberFormat="1" applyFill="1"/>
    <xf numFmtId="169" fontId="0" fillId="0" borderId="0" xfId="0" applyNumberFormat="1"/>
    <xf numFmtId="0" fontId="14" fillId="11" borderId="0" xfId="0" applyFont="1" applyFill="1"/>
    <xf numFmtId="0" fontId="15" fillId="11" borderId="0" xfId="0" applyFont="1" applyFill="1"/>
    <xf numFmtId="0" fontId="16" fillId="11" borderId="3" xfId="0" applyFont="1" applyFill="1" applyBorder="1"/>
    <xf numFmtId="0" fontId="16" fillId="11" borderId="3" xfId="0" applyFont="1" applyFill="1" applyBorder="1" applyAlignment="1">
      <alignment horizontal="right"/>
    </xf>
    <xf numFmtId="0" fontId="15" fillId="11" borderId="0" xfId="0" applyFont="1" applyFill="1" applyAlignment="1">
      <alignment horizontal="right"/>
    </xf>
    <xf numFmtId="0" fontId="16" fillId="11" borderId="4" xfId="0" applyFont="1" applyFill="1" applyBorder="1"/>
    <xf numFmtId="0" fontId="17" fillId="11" borderId="4" xfId="0" applyFont="1" applyFill="1" applyBorder="1"/>
    <xf numFmtId="0" fontId="16" fillId="11" borderId="4" xfId="0" applyFont="1" applyFill="1" applyBorder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5" fillId="11" borderId="2" xfId="0" applyFont="1" applyFill="1" applyBorder="1"/>
    <xf numFmtId="0" fontId="19" fillId="12" borderId="2" xfId="0" applyFont="1" applyFill="1" applyBorder="1"/>
    <xf numFmtId="0" fontId="15" fillId="11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20" fillId="13" borderId="2" xfId="0" applyFont="1" applyFill="1" applyBorder="1"/>
    <xf numFmtId="2" fontId="15" fillId="11" borderId="0" xfId="0" applyNumberFormat="1" applyFont="1" applyFill="1" applyAlignment="1">
      <alignment horizontal="left"/>
    </xf>
    <xf numFmtId="0" fontId="16" fillId="11" borderId="2" xfId="0" applyFont="1" applyFill="1" applyBorder="1"/>
    <xf numFmtId="0" fontId="15" fillId="11" borderId="2" xfId="0" applyFont="1" applyFill="1" applyBorder="1" applyAlignment="1">
      <alignment horizontal="left"/>
    </xf>
    <xf numFmtId="0" fontId="15" fillId="14" borderId="2" xfId="0" applyFont="1" applyFill="1" applyBorder="1"/>
    <xf numFmtId="0" fontId="21" fillId="0" borderId="5" xfId="0" applyFont="1" applyBorder="1" applyAlignment="1">
      <alignment horizontal="centerContinuous"/>
    </xf>
    <xf numFmtId="0" fontId="22" fillId="0" borderId="5" xfId="0" applyFont="1" applyBorder="1" applyAlignment="1">
      <alignment horizontal="centerContinuous"/>
    </xf>
    <xf numFmtId="0" fontId="23" fillId="0" borderId="6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24" fillId="15" borderId="7" xfId="0" applyFont="1" applyFill="1" applyBorder="1" applyAlignment="1">
      <alignment horizontal="center"/>
    </xf>
    <xf numFmtId="0" fontId="24" fillId="15" borderId="8" xfId="0" applyFont="1" applyFill="1" applyBorder="1" applyAlignment="1">
      <alignment horizontal="center"/>
    </xf>
    <xf numFmtId="0" fontId="24" fillId="15" borderId="9" xfId="0" applyFont="1" applyFill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16" borderId="9" xfId="0" applyFont="1" applyFill="1" applyBorder="1" applyAlignment="1">
      <alignment horizontal="center"/>
    </xf>
    <xf numFmtId="170" fontId="0" fillId="0" borderId="0" xfId="0" applyNumberFormat="1"/>
    <xf numFmtId="0" fontId="0" fillId="17" borderId="0" xfId="0" applyFill="1"/>
    <xf numFmtId="0" fontId="0" fillId="18" borderId="0" xfId="0" applyFill="1"/>
    <xf numFmtId="0" fontId="22" fillId="0" borderId="0" xfId="0" applyFont="1"/>
    <xf numFmtId="44" fontId="0" fillId="0" borderId="0" xfId="3" applyFont="1"/>
    <xf numFmtId="0" fontId="1" fillId="20" borderId="0" xfId="0" applyFont="1" applyFill="1"/>
    <xf numFmtId="44" fontId="1" fillId="20" borderId="0" xfId="3" applyFont="1" applyFill="1" applyAlignment="1">
      <alignment horizontal="center"/>
    </xf>
    <xf numFmtId="0" fontId="0" fillId="19" borderId="0" xfId="0" applyFill="1"/>
    <xf numFmtId="171" fontId="0" fillId="19" borderId="0" xfId="3" applyNumberFormat="1" applyFont="1" applyFill="1"/>
    <xf numFmtId="171" fontId="0" fillId="0" borderId="0" xfId="0" applyNumberFormat="1"/>
    <xf numFmtId="171" fontId="0" fillId="19" borderId="0" xfId="0" applyNumberFormat="1" applyFill="1"/>
    <xf numFmtId="171" fontId="0" fillId="20" borderId="0" xfId="3" applyNumberFormat="1" applyFont="1" applyFill="1"/>
    <xf numFmtId="0" fontId="20" fillId="0" borderId="0" xfId="0" applyFont="1"/>
    <xf numFmtId="0" fontId="19" fillId="13" borderId="2" xfId="0" applyFont="1" applyFill="1" applyBorder="1"/>
    <xf numFmtId="0" fontId="24" fillId="16" borderId="0" xfId="0" applyFont="1" applyFill="1" applyAlignment="1">
      <alignment horizontal="center"/>
    </xf>
    <xf numFmtId="172" fontId="0" fillId="0" borderId="0" xfId="4" applyNumberFormat="1" applyFont="1"/>
    <xf numFmtId="0" fontId="16" fillId="11" borderId="10" xfId="0" applyFont="1" applyFill="1" applyBorder="1"/>
    <xf numFmtId="0" fontId="15" fillId="11" borderId="10" xfId="0" applyFont="1" applyFill="1" applyBorder="1" applyAlignment="1">
      <alignment horizontal="left"/>
    </xf>
    <xf numFmtId="0" fontId="16" fillId="11" borderId="11" xfId="0" applyFont="1" applyFill="1" applyBorder="1"/>
    <xf numFmtId="0" fontId="16" fillId="11" borderId="13" xfId="0" applyFont="1" applyFill="1" applyBorder="1"/>
    <xf numFmtId="0" fontId="15" fillId="11" borderId="13" xfId="0" applyFont="1" applyFill="1" applyBorder="1"/>
    <xf numFmtId="0" fontId="15" fillId="11" borderId="12" xfId="0" applyFont="1" applyFill="1" applyBorder="1"/>
    <xf numFmtId="0" fontId="27" fillId="0" borderId="0" xfId="0" applyFont="1"/>
    <xf numFmtId="0" fontId="28" fillId="0" borderId="0" xfId="0" applyFont="1"/>
    <xf numFmtId="168" fontId="27" fillId="0" borderId="0" xfId="0" applyNumberFormat="1" applyFont="1" applyAlignment="1">
      <alignment horizontal="center"/>
    </xf>
    <xf numFmtId="22" fontId="0" fillId="9" borderId="0" xfId="0" applyNumberFormat="1" applyFill="1" applyAlignment="1">
      <alignment horizontal="right"/>
    </xf>
    <xf numFmtId="0" fontId="2" fillId="3" borderId="0" xfId="0" applyFont="1" applyFill="1" applyAlignment="1">
      <alignment horizontal="left"/>
    </xf>
    <xf numFmtId="0" fontId="7" fillId="4" borderId="0" xfId="1" applyFont="1" applyFill="1" applyAlignment="1">
      <alignment horizontal="center" wrapText="1"/>
    </xf>
    <xf numFmtId="0" fontId="10" fillId="0" borderId="0" xfId="1" applyFont="1" applyAlignment="1">
      <alignment horizontal="center" wrapText="1"/>
    </xf>
    <xf numFmtId="0" fontId="18" fillId="11" borderId="2" xfId="0" applyFont="1" applyFill="1" applyBorder="1" applyAlignment="1">
      <alignment horizontal="center"/>
    </xf>
  </cellXfs>
  <cellStyles count="5">
    <cellStyle name="Currency" xfId="4" builtinId="4"/>
    <cellStyle name="Currency 2" xfId="2" xr:uid="{5FEA5004-F1A8-4A53-90CE-EB5B85D432CB}"/>
    <cellStyle name="Currency 3" xfId="3" xr:uid="{DA400805-85D2-4273-A5FB-F3E9AEF48697}"/>
    <cellStyle name="Normal" xfId="0" builtinId="0"/>
    <cellStyle name="Normal 2" xfId="1" xr:uid="{80F945AE-0F4A-4440-AF95-1DD204A0473F}"/>
  </cellStyles>
  <dxfs count="6">
    <dxf>
      <font>
        <b/>
        <i/>
      </font>
      <fill>
        <patternFill>
          <bgColor rgb="FF00B050"/>
        </patternFill>
      </fill>
    </dxf>
    <dxf>
      <numFmt numFmtId="0" formatCode="General"/>
    </dxf>
    <dxf>
      <numFmt numFmtId="173" formatCode="d/m/yyyy"/>
    </dxf>
    <dxf>
      <alignment horizontal="center" vertical="bottom" textRotation="0" wrapText="0" indent="0" justifyLastLine="0" shrinkToFit="0" readingOrder="0"/>
    </dxf>
    <dxf>
      <fill>
        <patternFill>
          <bgColor rgb="FF98C8EC"/>
        </patternFill>
      </fill>
    </dxf>
    <dxf>
      <fill>
        <patternFill>
          <bgColor rgb="FF227CBE"/>
        </patternFill>
      </fill>
    </dxf>
  </dxfs>
  <tableStyles count="1" defaultTableStyle="TableStyleMedium2" defaultPivotStyle="PivotStyleLight16">
    <tableStyle name="Table Style 1" pivot="0" count="2" xr9:uid="{00000000-0011-0000-FFFF-FFFF00000000}">
      <tableStyleElement type="headerRow" dxfId="5"/>
      <tableStyleElement type="firstRowStripe" dxfId="4"/>
    </tableStyle>
  </tableStyles>
  <colors>
    <mruColors>
      <color rgb="FFBBE9FD"/>
      <color rgb="FF227CBE"/>
      <color rgb="FFCDE5FF"/>
      <color rgb="FFCDE4EB"/>
      <color rgb="FFCEE9EA"/>
      <color rgb="FFD1E4E7"/>
      <color rgb="FFC1EDF7"/>
      <color rgb="FFA3D8FF"/>
      <color rgb="FF98C8EC"/>
      <color rgb="FF1750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17</xdr:row>
      <xdr:rowOff>133350</xdr:rowOff>
    </xdr:from>
    <xdr:to>
      <xdr:col>9</xdr:col>
      <xdr:colOff>571500</xdr:colOff>
      <xdr:row>21</xdr:row>
      <xdr:rowOff>66675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DC85DE97-C891-4728-A085-13EC068FE4CD}"/>
            </a:ext>
          </a:extLst>
        </xdr:cNvPr>
        <xdr:cNvSpPr/>
      </xdr:nvSpPr>
      <xdr:spPr>
        <a:xfrm>
          <a:off x="5191124" y="3457575"/>
          <a:ext cx="2219326" cy="695325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 formulas to bring in the first and last names of employees in the </a:t>
          </a:r>
          <a:r>
            <a:rPr lang="en-US" sz="1000" b="1" baseline="0">
              <a:solidFill>
                <a:srgbClr val="7F7F7F"/>
              </a:solidFill>
            </a:rPr>
            <a:t>Raw Data Extract</a:t>
          </a:r>
          <a:r>
            <a:rPr lang="en-US" sz="1000" baseline="0">
              <a:solidFill>
                <a:srgbClr val="7F7F7F"/>
              </a:solidFill>
            </a:rPr>
            <a:t> section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17</xdr:row>
      <xdr:rowOff>85726</xdr:rowOff>
    </xdr:from>
    <xdr:to>
      <xdr:col>9</xdr:col>
      <xdr:colOff>200025</xdr:colOff>
      <xdr:row>20</xdr:row>
      <xdr:rowOff>152401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41681026-4B69-4286-B4C2-436C96EFEB16}"/>
            </a:ext>
          </a:extLst>
        </xdr:cNvPr>
        <xdr:cNvSpPr/>
      </xdr:nvSpPr>
      <xdr:spPr>
        <a:xfrm>
          <a:off x="4362449" y="3409951"/>
          <a:ext cx="2543176" cy="638175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rgbClr val="7F7F7F"/>
              </a:solidFill>
            </a:rPr>
            <a:t>Use</a:t>
          </a:r>
          <a:r>
            <a:rPr lang="en-US" sz="1000" baseline="0">
              <a:solidFill>
                <a:srgbClr val="7F7F7F"/>
              </a:solidFill>
            </a:rPr>
            <a:t> VLOOKUP's approximate match to bring in the pay band label for the Pay range</a:t>
          </a:r>
          <a:endParaRPr lang="en-US" sz="1000">
            <a:solidFill>
              <a:srgbClr val="7F7F7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81C34-2386-4F37-BB82-32F3BB66CA5C}" name="Table3" displayName="Table3" ref="E6:G27" totalsRowShown="0" headerRowDxfId="3">
  <autoFilter ref="E6:G27" xr:uid="{00000000-0009-0000-0100-000003000000}">
    <filterColumn colId="0" hiddenButton="1"/>
    <filterColumn colId="1" hiddenButton="1"/>
    <filterColumn colId="2" hiddenButton="1"/>
  </autoFilter>
  <tableColumns count="3">
    <tableColumn id="1" xr3:uid="{888B880D-13BB-4C19-8CBC-53382089ABFD}" name="Holidays"/>
    <tableColumn id="2" xr3:uid="{7D631884-79D6-4342-A3D0-511B446515E9}" name="Dates" dataDxfId="2"/>
    <tableColumn id="3" xr3:uid="{8C8BEEFF-1744-42A8-B662-5185B9CFC020}" name="Column1" dataDxfId="1">
      <calculatedColumnFormula>TEXT(Table3[[#This Row],[Dates]], "dddd")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zoomScaleNormal="100" workbookViewId="0">
      <selection activeCell="D7" sqref="D7"/>
    </sheetView>
  </sheetViews>
  <sheetFormatPr defaultColWidth="9.109375" defaultRowHeight="18" customHeight="1" x14ac:dyDescent="0.3"/>
  <cols>
    <col min="1" max="1" width="16.6640625" bestFit="1" customWidth="1"/>
    <col min="2" max="2" width="13.33203125" customWidth="1"/>
    <col min="3" max="3" width="13.6640625" customWidth="1"/>
    <col min="4" max="5" width="13.33203125" customWidth="1"/>
    <col min="6" max="6" width="13.88671875" style="2" customWidth="1"/>
    <col min="7" max="7" width="13.33203125" style="3" customWidth="1"/>
    <col min="8" max="8" width="12.6640625" style="3" customWidth="1"/>
    <col min="9" max="10" width="13.88671875" style="3" customWidth="1"/>
    <col min="11" max="11" width="13.33203125" style="3" customWidth="1"/>
    <col min="12" max="12" width="13.6640625" customWidth="1"/>
    <col min="13" max="13" width="13.88671875" customWidth="1"/>
    <col min="14" max="14" width="13.33203125" customWidth="1"/>
    <col min="15" max="15" width="13.6640625" customWidth="1"/>
    <col min="16" max="17" width="13.33203125" customWidth="1"/>
    <col min="18" max="18" width="13.88671875" customWidth="1"/>
    <col min="19" max="19" width="13.33203125" customWidth="1"/>
    <col min="23" max="23" width="12" bestFit="1" customWidth="1"/>
  </cols>
  <sheetData>
    <row r="1" spans="1:32" ht="18" customHeight="1" x14ac:dyDescent="0.35">
      <c r="A1" s="97" t="s">
        <v>31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32" s="7" customFormat="1" ht="18" customHeight="1" x14ac:dyDescent="0.3">
      <c r="A2" s="8" t="s">
        <v>0</v>
      </c>
      <c r="B2" s="9">
        <v>44197</v>
      </c>
      <c r="C2" s="9">
        <v>44228</v>
      </c>
      <c r="D2" s="9">
        <v>44256</v>
      </c>
      <c r="E2" s="9">
        <v>44287</v>
      </c>
      <c r="F2" s="9">
        <v>44317</v>
      </c>
      <c r="G2" s="9">
        <v>44348</v>
      </c>
      <c r="H2" s="9">
        <v>44378</v>
      </c>
      <c r="I2" s="9">
        <v>44409</v>
      </c>
      <c r="J2" s="9">
        <v>44440</v>
      </c>
      <c r="K2" s="9">
        <v>44470</v>
      </c>
      <c r="L2" s="9">
        <v>44501</v>
      </c>
      <c r="M2" s="9">
        <v>44531</v>
      </c>
      <c r="N2" s="9">
        <v>44562</v>
      </c>
      <c r="O2" s="9">
        <v>44593</v>
      </c>
      <c r="P2" s="9">
        <v>44621</v>
      </c>
      <c r="Q2" s="9">
        <v>44652</v>
      </c>
      <c r="R2" s="9">
        <v>44682</v>
      </c>
      <c r="S2" s="9">
        <v>44713</v>
      </c>
      <c r="T2" s="5"/>
      <c r="U2" s="5"/>
      <c r="V2" s="5"/>
      <c r="W2" s="6"/>
      <c r="X2" s="5"/>
      <c r="Y2" s="5"/>
      <c r="Z2" s="5"/>
      <c r="AA2" s="5"/>
      <c r="AB2" s="5"/>
      <c r="AC2" s="5"/>
      <c r="AD2" s="5"/>
      <c r="AE2" s="5"/>
      <c r="AF2" s="5"/>
    </row>
    <row r="3" spans="1:32" ht="18" customHeight="1" x14ac:dyDescent="0.3">
      <c r="A3" t="s">
        <v>5</v>
      </c>
      <c r="B3" s="3">
        <v>3799</v>
      </c>
      <c r="C3" s="3">
        <v>4162</v>
      </c>
      <c r="D3" s="3">
        <v>10491</v>
      </c>
      <c r="E3" s="3">
        <v>6548</v>
      </c>
      <c r="F3" s="2">
        <v>3947</v>
      </c>
      <c r="G3" s="3">
        <v>557</v>
      </c>
      <c r="H3" s="3">
        <v>3863</v>
      </c>
      <c r="I3" s="3">
        <v>1117</v>
      </c>
      <c r="J3" s="3">
        <v>8237</v>
      </c>
      <c r="K3" s="3">
        <v>8690</v>
      </c>
      <c r="L3" s="3">
        <v>10776</v>
      </c>
      <c r="M3" s="3">
        <v>16904</v>
      </c>
      <c r="N3" s="3">
        <v>15367</v>
      </c>
      <c r="O3" s="3">
        <v>7274</v>
      </c>
      <c r="P3" s="3">
        <v>8624</v>
      </c>
      <c r="Q3" s="3">
        <v>4264</v>
      </c>
      <c r="R3" s="3">
        <v>11627</v>
      </c>
      <c r="S3" s="3">
        <v>9211</v>
      </c>
    </row>
    <row r="4" spans="1:32" ht="18" customHeight="1" x14ac:dyDescent="0.3">
      <c r="A4" s="4" t="s">
        <v>9</v>
      </c>
      <c r="B4" s="3">
        <v>18930</v>
      </c>
      <c r="C4" s="3">
        <v>3993</v>
      </c>
      <c r="D4" s="3">
        <v>9133</v>
      </c>
      <c r="E4" s="3">
        <v>19845</v>
      </c>
      <c r="F4" s="2">
        <v>4411</v>
      </c>
      <c r="G4" s="3">
        <v>1042</v>
      </c>
      <c r="H4" s="3">
        <v>9355</v>
      </c>
      <c r="I4" s="3">
        <v>1100</v>
      </c>
      <c r="J4" s="3">
        <v>10185</v>
      </c>
      <c r="K4" s="3">
        <v>18749</v>
      </c>
      <c r="L4" s="3">
        <v>1144</v>
      </c>
      <c r="M4" s="3">
        <v>9777</v>
      </c>
      <c r="N4" s="3">
        <v>10740</v>
      </c>
      <c r="O4" s="3">
        <v>7214</v>
      </c>
      <c r="P4" s="3">
        <v>18932</v>
      </c>
      <c r="Q4" s="3">
        <v>2310</v>
      </c>
      <c r="R4" s="3">
        <v>18072</v>
      </c>
      <c r="S4" s="3">
        <v>6944</v>
      </c>
    </row>
    <row r="5" spans="1:32" ht="18" customHeight="1" x14ac:dyDescent="0.3">
      <c r="A5" s="4" t="s">
        <v>10</v>
      </c>
      <c r="B5" s="3">
        <v>5725</v>
      </c>
      <c r="C5" s="3">
        <v>4848</v>
      </c>
      <c r="D5" s="3">
        <v>8741</v>
      </c>
      <c r="E5" s="3">
        <v>11138</v>
      </c>
      <c r="F5" s="2">
        <v>2521</v>
      </c>
      <c r="G5" s="3">
        <v>3072</v>
      </c>
      <c r="H5" s="3">
        <v>6702</v>
      </c>
      <c r="I5" s="3">
        <v>2116</v>
      </c>
      <c r="J5" s="3">
        <v>13452</v>
      </c>
      <c r="K5" s="3">
        <v>8046</v>
      </c>
      <c r="L5" s="3">
        <v>12686</v>
      </c>
      <c r="M5" s="3">
        <v>8065</v>
      </c>
      <c r="N5" s="3">
        <v>13478</v>
      </c>
      <c r="O5" s="3">
        <v>13504</v>
      </c>
      <c r="P5" s="3">
        <v>4912</v>
      </c>
      <c r="Q5" s="3">
        <v>19032</v>
      </c>
      <c r="R5" s="3">
        <v>2651</v>
      </c>
      <c r="S5" s="3">
        <v>9401</v>
      </c>
    </row>
    <row r="6" spans="1:32" ht="18" customHeight="1" x14ac:dyDescent="0.3">
      <c r="A6" s="4" t="s">
        <v>11</v>
      </c>
      <c r="B6" s="3">
        <v>1344</v>
      </c>
      <c r="C6" s="3">
        <v>3693</v>
      </c>
      <c r="D6" s="3">
        <v>15346</v>
      </c>
      <c r="E6" s="3">
        <v>17253</v>
      </c>
      <c r="F6" s="2">
        <v>4752</v>
      </c>
      <c r="G6" s="3">
        <v>3755</v>
      </c>
      <c r="H6" s="3">
        <v>4415</v>
      </c>
      <c r="I6" s="3">
        <v>1089</v>
      </c>
      <c r="J6" s="3">
        <v>4404</v>
      </c>
      <c r="K6" s="3">
        <v>20114</v>
      </c>
      <c r="L6" s="3">
        <v>18400</v>
      </c>
      <c r="M6" s="3">
        <v>18373</v>
      </c>
      <c r="N6" s="3">
        <v>3424</v>
      </c>
      <c r="O6" s="3">
        <v>16907</v>
      </c>
      <c r="P6" s="3">
        <v>1561</v>
      </c>
      <c r="Q6" s="3">
        <v>9611</v>
      </c>
      <c r="R6" s="3">
        <v>14909</v>
      </c>
      <c r="S6" s="3">
        <v>15173</v>
      </c>
    </row>
    <row r="7" spans="1:32" ht="18" customHeight="1" x14ac:dyDescent="0.3">
      <c r="A7" t="s">
        <v>4</v>
      </c>
      <c r="B7" s="3">
        <v>8296</v>
      </c>
      <c r="C7" s="3">
        <v>6767</v>
      </c>
      <c r="D7" s="3">
        <v>14791</v>
      </c>
      <c r="E7" s="3">
        <v>14130</v>
      </c>
      <c r="F7" s="2">
        <v>4964</v>
      </c>
      <c r="G7" s="3">
        <v>3152</v>
      </c>
      <c r="H7" s="3">
        <v>11601</v>
      </c>
      <c r="I7" s="3">
        <v>1122</v>
      </c>
      <c r="J7" s="3">
        <v>3170</v>
      </c>
      <c r="K7" s="3">
        <v>10733</v>
      </c>
      <c r="L7" s="3">
        <v>6394</v>
      </c>
      <c r="M7" s="3">
        <v>6272</v>
      </c>
      <c r="N7" s="3">
        <v>6065</v>
      </c>
      <c r="O7" s="3">
        <v>11845</v>
      </c>
      <c r="P7" s="3">
        <v>18982</v>
      </c>
      <c r="Q7" s="3">
        <v>13653</v>
      </c>
      <c r="R7" s="3">
        <v>14974</v>
      </c>
      <c r="S7" s="3">
        <v>10053</v>
      </c>
    </row>
    <row r="8" spans="1:32" ht="18" customHeight="1" x14ac:dyDescent="0.3">
      <c r="A8" s="4" t="s">
        <v>12</v>
      </c>
      <c r="B8" s="3">
        <v>3945</v>
      </c>
      <c r="C8" s="3">
        <v>17228</v>
      </c>
      <c r="D8" s="3">
        <v>14135</v>
      </c>
      <c r="E8" s="3">
        <v>19306</v>
      </c>
      <c r="F8" s="2">
        <v>2327</v>
      </c>
      <c r="G8" s="3">
        <v>4056</v>
      </c>
      <c r="H8" s="3">
        <v>3726</v>
      </c>
      <c r="I8" s="3">
        <v>1135</v>
      </c>
      <c r="J8" s="3">
        <v>8817</v>
      </c>
      <c r="K8" s="3">
        <v>18524</v>
      </c>
      <c r="L8" s="3">
        <v>6063</v>
      </c>
      <c r="M8" s="3">
        <v>7361</v>
      </c>
      <c r="N8" s="3">
        <v>19216</v>
      </c>
      <c r="O8" s="3">
        <v>12528</v>
      </c>
      <c r="P8" s="3">
        <v>15481</v>
      </c>
      <c r="Q8" s="3">
        <v>5093</v>
      </c>
      <c r="R8" s="3">
        <v>13608</v>
      </c>
      <c r="S8" s="3">
        <v>8936</v>
      </c>
    </row>
    <row r="9" spans="1:32" ht="18" customHeight="1" x14ac:dyDescent="0.3">
      <c r="A9" s="4" t="s">
        <v>13</v>
      </c>
      <c r="B9" s="3">
        <v>8337</v>
      </c>
      <c r="C9" s="3">
        <v>1137</v>
      </c>
      <c r="D9" s="3">
        <v>9203</v>
      </c>
      <c r="E9" s="3">
        <v>2302</v>
      </c>
      <c r="F9" s="2">
        <v>3967</v>
      </c>
      <c r="G9" s="3">
        <v>4906</v>
      </c>
      <c r="H9" s="3">
        <v>9007</v>
      </c>
      <c r="I9" s="3">
        <v>2113</v>
      </c>
      <c r="J9" s="3">
        <v>13090</v>
      </c>
      <c r="K9" s="3">
        <v>13953</v>
      </c>
      <c r="L9" s="3">
        <v>17950</v>
      </c>
      <c r="M9" s="3">
        <v>10806</v>
      </c>
      <c r="N9" s="3">
        <v>8454</v>
      </c>
      <c r="O9" s="3">
        <v>9938</v>
      </c>
      <c r="P9" s="3">
        <v>3793</v>
      </c>
      <c r="Q9" s="3">
        <v>11299</v>
      </c>
      <c r="R9" s="3">
        <v>17917</v>
      </c>
      <c r="S9" s="3">
        <v>12387</v>
      </c>
    </row>
    <row r="10" spans="1:32" ht="18" customHeight="1" x14ac:dyDescent="0.3">
      <c r="A10" s="4" t="s">
        <v>14</v>
      </c>
      <c r="B10" s="3">
        <v>3742</v>
      </c>
      <c r="C10" s="3">
        <v>17982</v>
      </c>
      <c r="D10" s="3">
        <v>9949</v>
      </c>
      <c r="E10" s="3">
        <v>17075</v>
      </c>
      <c r="F10" s="2">
        <v>4670</v>
      </c>
      <c r="G10" s="3">
        <v>521</v>
      </c>
      <c r="H10" s="3">
        <v>4505</v>
      </c>
      <c r="I10" s="3">
        <v>1024</v>
      </c>
      <c r="J10" s="3">
        <v>3528</v>
      </c>
      <c r="K10" s="3">
        <v>15275</v>
      </c>
      <c r="L10" s="3">
        <v>3639</v>
      </c>
      <c r="M10" s="3">
        <v>12801</v>
      </c>
      <c r="N10" s="3">
        <v>9037</v>
      </c>
      <c r="O10" s="3">
        <v>16489</v>
      </c>
      <c r="P10" s="3">
        <v>8026</v>
      </c>
      <c r="Q10" s="3">
        <v>5367</v>
      </c>
      <c r="R10" s="3">
        <v>6729</v>
      </c>
      <c r="S10" s="3">
        <v>15986</v>
      </c>
    </row>
    <row r="11" spans="1:32" ht="18" customHeight="1" x14ac:dyDescent="0.3">
      <c r="A11" s="4" t="s">
        <v>15</v>
      </c>
      <c r="B11" s="3">
        <v>7605</v>
      </c>
      <c r="C11" s="3">
        <v>13184</v>
      </c>
      <c r="D11" s="3">
        <v>10986</v>
      </c>
      <c r="E11" s="3">
        <v>5401</v>
      </c>
      <c r="F11" s="2">
        <v>3379</v>
      </c>
      <c r="G11" s="3">
        <v>3428</v>
      </c>
      <c r="H11" s="3">
        <v>3973</v>
      </c>
      <c r="I11" s="3">
        <v>1716</v>
      </c>
      <c r="J11" s="3">
        <v>4839</v>
      </c>
      <c r="K11" s="3">
        <v>13085</v>
      </c>
      <c r="L11" s="3">
        <v>3576</v>
      </c>
      <c r="M11" s="3">
        <v>19673</v>
      </c>
      <c r="N11" s="3">
        <v>17010</v>
      </c>
      <c r="O11" s="3">
        <v>3812</v>
      </c>
      <c r="P11" s="3">
        <v>7787</v>
      </c>
      <c r="Q11" s="3">
        <v>11646</v>
      </c>
      <c r="R11" s="3">
        <v>11085</v>
      </c>
      <c r="S11" s="3">
        <v>9286</v>
      </c>
    </row>
    <row r="12" spans="1:32" ht="18" customHeight="1" x14ac:dyDescent="0.3">
      <c r="A12" t="s">
        <v>3</v>
      </c>
      <c r="B12" s="3">
        <v>5304</v>
      </c>
      <c r="C12" s="3">
        <v>5593</v>
      </c>
      <c r="D12" s="3">
        <v>9928</v>
      </c>
      <c r="E12" s="3">
        <v>17434</v>
      </c>
      <c r="F12" s="2">
        <v>5363</v>
      </c>
      <c r="G12" s="3">
        <v>1562</v>
      </c>
      <c r="H12" s="3">
        <v>2945</v>
      </c>
      <c r="I12" s="3">
        <v>1176</v>
      </c>
      <c r="J12" s="3">
        <v>9642</v>
      </c>
      <c r="K12" s="3">
        <v>13714</v>
      </c>
      <c r="L12" s="3">
        <v>11380</v>
      </c>
      <c r="M12" s="3">
        <v>11534</v>
      </c>
      <c r="N12" s="3">
        <v>6462</v>
      </c>
      <c r="O12" s="3">
        <v>15861</v>
      </c>
      <c r="P12" s="3">
        <v>18246</v>
      </c>
      <c r="Q12" s="3">
        <v>18059</v>
      </c>
      <c r="R12" s="3">
        <v>16578</v>
      </c>
      <c r="S12" s="3">
        <v>7250</v>
      </c>
    </row>
    <row r="13" spans="1:32" ht="18" customHeight="1" x14ac:dyDescent="0.3">
      <c r="A13" t="s">
        <v>7</v>
      </c>
      <c r="B13" s="3">
        <v>9333</v>
      </c>
      <c r="C13" s="3">
        <v>3466</v>
      </c>
      <c r="D13" s="3">
        <v>13502</v>
      </c>
      <c r="E13" s="3">
        <v>12579</v>
      </c>
      <c r="F13" s="2">
        <v>3275</v>
      </c>
      <c r="G13" s="3">
        <v>2779</v>
      </c>
      <c r="H13" s="3">
        <v>7549</v>
      </c>
      <c r="I13" s="3">
        <v>1101</v>
      </c>
      <c r="J13" s="3">
        <v>5850</v>
      </c>
      <c r="K13" s="3">
        <v>15065</v>
      </c>
      <c r="L13" s="3">
        <v>2706</v>
      </c>
      <c r="M13" s="3">
        <v>3805</v>
      </c>
      <c r="N13" s="3">
        <v>7579</v>
      </c>
      <c r="O13" s="3">
        <v>8579</v>
      </c>
      <c r="P13" s="3">
        <v>16917</v>
      </c>
      <c r="Q13" s="3">
        <v>10951</v>
      </c>
      <c r="R13" s="3">
        <v>5141</v>
      </c>
      <c r="S13" s="3">
        <v>18489</v>
      </c>
    </row>
    <row r="14" spans="1:32" ht="18" customHeight="1" x14ac:dyDescent="0.3">
      <c r="A14" s="4" t="s">
        <v>16</v>
      </c>
      <c r="B14" s="3">
        <v>1103</v>
      </c>
      <c r="C14" s="3">
        <v>13531</v>
      </c>
      <c r="D14" s="3">
        <v>19874</v>
      </c>
      <c r="E14" s="3">
        <v>18870</v>
      </c>
      <c r="F14" s="2">
        <v>3860</v>
      </c>
      <c r="G14" s="3">
        <v>3470</v>
      </c>
      <c r="H14" s="3">
        <v>3862</v>
      </c>
      <c r="I14" s="3">
        <v>1040</v>
      </c>
      <c r="J14" s="3">
        <v>10024</v>
      </c>
      <c r="K14" s="3">
        <v>18389</v>
      </c>
      <c r="L14" s="3">
        <v>12321</v>
      </c>
      <c r="M14" s="3">
        <v>18891</v>
      </c>
      <c r="N14" s="3">
        <v>18654</v>
      </c>
      <c r="O14" s="3">
        <v>10062</v>
      </c>
      <c r="P14" s="3">
        <v>19581</v>
      </c>
      <c r="Q14" s="3">
        <v>10915</v>
      </c>
      <c r="R14" s="3">
        <v>10729</v>
      </c>
      <c r="S14" s="3">
        <v>1641</v>
      </c>
    </row>
    <row r="15" spans="1:32" ht="18" customHeight="1" x14ac:dyDescent="0.3">
      <c r="A15" s="4" t="s">
        <v>17</v>
      </c>
      <c r="B15" s="3">
        <v>1333</v>
      </c>
      <c r="C15" s="3">
        <v>6165</v>
      </c>
      <c r="D15" s="3">
        <v>18276</v>
      </c>
      <c r="E15" s="3">
        <v>2167</v>
      </c>
      <c r="F15" s="2">
        <v>4685</v>
      </c>
      <c r="G15" s="3">
        <v>1913</v>
      </c>
      <c r="H15" s="3">
        <v>4596</v>
      </c>
      <c r="I15" s="3">
        <v>1126</v>
      </c>
      <c r="J15" s="3">
        <v>5503</v>
      </c>
      <c r="K15" s="3">
        <v>10686</v>
      </c>
      <c r="L15" s="3">
        <v>17909</v>
      </c>
      <c r="M15" s="3">
        <v>5505</v>
      </c>
      <c r="N15" s="3">
        <v>17735</v>
      </c>
      <c r="O15" s="3">
        <v>18574</v>
      </c>
      <c r="P15" s="3">
        <v>12400</v>
      </c>
      <c r="Q15" s="3">
        <v>8608</v>
      </c>
      <c r="R15" s="3">
        <v>14501</v>
      </c>
      <c r="S15" s="3">
        <v>8208</v>
      </c>
    </row>
    <row r="16" spans="1:32" ht="18" customHeight="1" x14ac:dyDescent="0.3">
      <c r="A16" t="s">
        <v>6</v>
      </c>
      <c r="B16" s="3">
        <v>12398</v>
      </c>
      <c r="C16" s="3">
        <v>13779</v>
      </c>
      <c r="D16" s="3">
        <v>18993</v>
      </c>
      <c r="E16" s="3">
        <v>8989</v>
      </c>
      <c r="F16" s="2">
        <v>4052</v>
      </c>
      <c r="G16" s="3">
        <v>2883</v>
      </c>
      <c r="H16" s="3">
        <v>2142</v>
      </c>
      <c r="I16" s="3">
        <v>2014</v>
      </c>
      <c r="J16" s="3">
        <v>13547</v>
      </c>
      <c r="K16" s="3">
        <v>21983</v>
      </c>
      <c r="L16" s="3">
        <v>18999</v>
      </c>
      <c r="M16" s="3">
        <v>15346</v>
      </c>
      <c r="N16" s="3">
        <v>15362</v>
      </c>
      <c r="O16" s="3">
        <v>1569</v>
      </c>
      <c r="P16" s="3">
        <v>14914</v>
      </c>
      <c r="Q16" s="3">
        <v>10992</v>
      </c>
      <c r="R16" s="3">
        <v>11280</v>
      </c>
      <c r="S16" s="3">
        <v>15446</v>
      </c>
    </row>
    <row r="17" spans="1:19" ht="18" customHeight="1" x14ac:dyDescent="0.3">
      <c r="A17" s="4" t="s">
        <v>18</v>
      </c>
      <c r="B17" s="3">
        <v>3251</v>
      </c>
      <c r="C17" s="3">
        <v>13670</v>
      </c>
      <c r="D17" s="3">
        <v>7128</v>
      </c>
      <c r="E17" s="3">
        <v>9838</v>
      </c>
      <c r="F17" s="2">
        <v>5541</v>
      </c>
      <c r="G17" s="3">
        <v>4931</v>
      </c>
      <c r="H17" s="3">
        <v>8283</v>
      </c>
      <c r="I17" s="3">
        <v>1054</v>
      </c>
      <c r="J17" s="3">
        <v>9543</v>
      </c>
      <c r="K17" s="3">
        <v>11967</v>
      </c>
      <c r="L17" s="3">
        <v>4752</v>
      </c>
      <c r="M17" s="3">
        <v>17355</v>
      </c>
      <c r="N17" s="3">
        <v>10214</v>
      </c>
      <c r="O17" s="3">
        <v>15276</v>
      </c>
      <c r="P17" s="3">
        <v>13774</v>
      </c>
      <c r="Q17" s="3">
        <v>8111</v>
      </c>
      <c r="R17" s="3">
        <v>1380</v>
      </c>
      <c r="S17" s="3">
        <v>4748</v>
      </c>
    </row>
    <row r="18" spans="1:19" ht="18" customHeight="1" x14ac:dyDescent="0.3">
      <c r="A18" s="4" t="s">
        <v>19</v>
      </c>
      <c r="B18" s="3">
        <v>4624</v>
      </c>
      <c r="C18" s="3">
        <v>14772</v>
      </c>
      <c r="D18" s="3">
        <v>19830</v>
      </c>
      <c r="E18" s="3">
        <v>6303</v>
      </c>
      <c r="F18" s="2">
        <v>5667</v>
      </c>
      <c r="G18" s="3">
        <v>4798</v>
      </c>
      <c r="H18" s="3">
        <v>8420</v>
      </c>
      <c r="I18" s="3">
        <v>1389</v>
      </c>
      <c r="J18" s="3">
        <v>10468</v>
      </c>
      <c r="K18" s="3">
        <v>12677</v>
      </c>
      <c r="L18" s="3">
        <v>2840</v>
      </c>
      <c r="M18" s="3">
        <v>6298</v>
      </c>
      <c r="N18" s="3">
        <v>12813</v>
      </c>
      <c r="O18" s="3">
        <v>3973</v>
      </c>
      <c r="P18" s="3">
        <v>14246</v>
      </c>
      <c r="Q18" s="3">
        <v>14454</v>
      </c>
      <c r="R18" s="3">
        <v>4699</v>
      </c>
      <c r="S18" s="3">
        <v>9647</v>
      </c>
    </row>
    <row r="19" spans="1:19" ht="18" customHeight="1" x14ac:dyDescent="0.3">
      <c r="A19" s="4" t="s">
        <v>20</v>
      </c>
      <c r="B19" s="3">
        <v>2552</v>
      </c>
      <c r="C19" s="3">
        <v>1627</v>
      </c>
      <c r="D19" s="3">
        <v>4382</v>
      </c>
      <c r="E19" s="3">
        <v>9083</v>
      </c>
      <c r="F19" s="2">
        <v>4269</v>
      </c>
      <c r="G19" s="3">
        <v>4459</v>
      </c>
      <c r="H19" s="3">
        <v>2248</v>
      </c>
      <c r="I19" s="3">
        <v>1058</v>
      </c>
      <c r="J19" s="3">
        <v>6267</v>
      </c>
      <c r="K19" s="3">
        <v>14982</v>
      </c>
      <c r="L19" s="3">
        <v>14605</v>
      </c>
      <c r="M19" s="3">
        <v>2666</v>
      </c>
      <c r="N19" s="3">
        <v>19145</v>
      </c>
      <c r="O19" s="3">
        <v>17752</v>
      </c>
      <c r="P19" s="3">
        <v>1603</v>
      </c>
      <c r="Q19" s="3">
        <v>7006</v>
      </c>
      <c r="R19" s="3">
        <v>6604</v>
      </c>
      <c r="S19" s="3">
        <v>10585</v>
      </c>
    </row>
    <row r="20" spans="1:19" ht="18" customHeight="1" x14ac:dyDescent="0.3">
      <c r="A20" s="4" t="s">
        <v>21</v>
      </c>
      <c r="B20" s="3">
        <v>4281</v>
      </c>
      <c r="C20" s="3">
        <v>7375</v>
      </c>
      <c r="D20" s="3">
        <v>17730</v>
      </c>
      <c r="E20" s="3">
        <v>19998</v>
      </c>
      <c r="F20" s="2">
        <v>3502</v>
      </c>
      <c r="G20" s="3">
        <v>4172</v>
      </c>
      <c r="H20" s="3">
        <v>11074</v>
      </c>
      <c r="I20" s="3">
        <v>1282</v>
      </c>
      <c r="J20" s="3">
        <v>2365</v>
      </c>
      <c r="K20" s="3">
        <v>9380</v>
      </c>
      <c r="L20" s="3">
        <v>19412</v>
      </c>
      <c r="M20" s="3">
        <v>10503</v>
      </c>
      <c r="N20" s="3">
        <v>8645</v>
      </c>
      <c r="O20" s="3">
        <v>8409</v>
      </c>
      <c r="P20" s="3">
        <v>1422</v>
      </c>
      <c r="Q20" s="3">
        <v>16004</v>
      </c>
      <c r="R20" s="3">
        <v>16958</v>
      </c>
      <c r="S20" s="3">
        <v>10902</v>
      </c>
    </row>
    <row r="21" spans="1:19" ht="18" customHeight="1" x14ac:dyDescent="0.3">
      <c r="A21" s="4" t="s">
        <v>22</v>
      </c>
      <c r="B21" s="3">
        <v>4679</v>
      </c>
      <c r="C21" s="3">
        <v>3058</v>
      </c>
      <c r="D21" s="3">
        <v>1497</v>
      </c>
      <c r="E21" s="3">
        <v>5722</v>
      </c>
      <c r="F21" s="2">
        <v>5853</v>
      </c>
      <c r="G21" s="3">
        <v>2011</v>
      </c>
      <c r="H21" s="3">
        <v>3807</v>
      </c>
      <c r="I21" s="3">
        <v>1348</v>
      </c>
      <c r="J21" s="3">
        <v>11110</v>
      </c>
      <c r="K21" s="3">
        <v>18047</v>
      </c>
      <c r="L21" s="3">
        <v>7311</v>
      </c>
      <c r="M21" s="3">
        <v>15323</v>
      </c>
      <c r="N21" s="3">
        <v>16200</v>
      </c>
      <c r="O21" s="3">
        <v>6332</v>
      </c>
      <c r="P21" s="3">
        <v>19506</v>
      </c>
      <c r="Q21" s="3">
        <v>8535</v>
      </c>
      <c r="R21" s="3">
        <v>17382</v>
      </c>
      <c r="S21" s="3">
        <v>3231</v>
      </c>
    </row>
    <row r="22" spans="1:19" ht="18" customHeight="1" x14ac:dyDescent="0.3">
      <c r="A22" s="4" t="s">
        <v>23</v>
      </c>
      <c r="B22" s="3">
        <v>2485</v>
      </c>
      <c r="C22" s="3">
        <v>7810</v>
      </c>
      <c r="D22" s="3">
        <v>15340</v>
      </c>
      <c r="E22" s="3">
        <v>7973</v>
      </c>
      <c r="F22" s="2">
        <v>2586</v>
      </c>
      <c r="G22" s="3">
        <v>2398</v>
      </c>
      <c r="H22" s="3">
        <v>2453</v>
      </c>
      <c r="I22" s="3">
        <v>1020</v>
      </c>
      <c r="J22" s="3">
        <v>4612</v>
      </c>
      <c r="K22" s="3">
        <v>20525</v>
      </c>
      <c r="L22" s="3">
        <v>19540</v>
      </c>
      <c r="M22" s="3">
        <v>7900</v>
      </c>
      <c r="N22" s="3">
        <v>6491</v>
      </c>
      <c r="O22" s="3">
        <v>10079</v>
      </c>
      <c r="P22" s="3">
        <v>15947</v>
      </c>
      <c r="Q22" s="3">
        <v>10588</v>
      </c>
      <c r="R22" s="3">
        <v>2191</v>
      </c>
      <c r="S22" s="3">
        <v>16987</v>
      </c>
    </row>
    <row r="23" spans="1:19" ht="18" customHeight="1" x14ac:dyDescent="0.3">
      <c r="A23" s="4" t="s">
        <v>24</v>
      </c>
      <c r="B23" s="3">
        <v>8386</v>
      </c>
      <c r="C23" s="3">
        <v>11051</v>
      </c>
      <c r="D23" s="3">
        <v>13733</v>
      </c>
      <c r="E23" s="3">
        <v>16288</v>
      </c>
      <c r="F23" s="2">
        <v>5714</v>
      </c>
      <c r="G23" s="3">
        <v>4960</v>
      </c>
      <c r="H23" s="3">
        <v>11507</v>
      </c>
      <c r="I23" s="3">
        <v>1010</v>
      </c>
      <c r="J23" s="3">
        <v>6599</v>
      </c>
      <c r="K23" s="3">
        <v>11626</v>
      </c>
      <c r="L23" s="3">
        <v>5319</v>
      </c>
      <c r="M23" s="3">
        <v>6976</v>
      </c>
      <c r="N23" s="3">
        <v>17758</v>
      </c>
      <c r="O23" s="3">
        <v>7480</v>
      </c>
      <c r="P23" s="3">
        <v>19679</v>
      </c>
      <c r="Q23" s="3">
        <v>5003</v>
      </c>
      <c r="R23" s="3">
        <v>3215</v>
      </c>
      <c r="S23" s="3">
        <v>18439</v>
      </c>
    </row>
    <row r="24" spans="1:19" ht="18" customHeight="1" x14ac:dyDescent="0.3">
      <c r="A24" s="4" t="s">
        <v>25</v>
      </c>
      <c r="B24" s="3">
        <v>14226</v>
      </c>
      <c r="C24" s="3">
        <v>2651</v>
      </c>
      <c r="D24" s="3">
        <v>10663</v>
      </c>
      <c r="E24" s="3">
        <v>15453</v>
      </c>
      <c r="F24" s="2">
        <v>5347</v>
      </c>
      <c r="G24" s="3">
        <v>4060</v>
      </c>
      <c r="H24" s="3">
        <v>7056</v>
      </c>
      <c r="I24" s="3">
        <v>1555</v>
      </c>
      <c r="J24" s="3">
        <v>5439</v>
      </c>
      <c r="K24" s="3">
        <v>15285</v>
      </c>
      <c r="L24" s="3">
        <v>9842</v>
      </c>
      <c r="M24" s="3">
        <v>15933</v>
      </c>
      <c r="N24" s="3">
        <v>17191</v>
      </c>
      <c r="O24" s="3">
        <v>6701</v>
      </c>
      <c r="P24" s="3">
        <v>8730</v>
      </c>
      <c r="Q24" s="3">
        <v>7486</v>
      </c>
      <c r="R24" s="3">
        <v>3646</v>
      </c>
      <c r="S24" s="3">
        <v>14720</v>
      </c>
    </row>
    <row r="25" spans="1:19" ht="18" customHeight="1" x14ac:dyDescent="0.3">
      <c r="A25" t="s">
        <v>1</v>
      </c>
      <c r="B25" s="3">
        <v>18252</v>
      </c>
      <c r="C25" s="3">
        <v>11534</v>
      </c>
      <c r="D25" s="3">
        <v>16895</v>
      </c>
      <c r="E25" s="3">
        <v>4554</v>
      </c>
      <c r="F25" s="2">
        <v>4222</v>
      </c>
      <c r="G25" s="3">
        <v>3317</v>
      </c>
      <c r="H25" s="3">
        <v>5849</v>
      </c>
      <c r="I25" s="3">
        <v>2081</v>
      </c>
      <c r="J25" s="3">
        <v>10521</v>
      </c>
      <c r="K25" s="3">
        <v>18979</v>
      </c>
      <c r="L25" s="3">
        <v>15139</v>
      </c>
      <c r="M25" s="3">
        <v>13154</v>
      </c>
      <c r="N25" s="3">
        <v>8387</v>
      </c>
      <c r="O25" s="3">
        <v>12637</v>
      </c>
      <c r="P25" s="3">
        <v>12904</v>
      </c>
      <c r="Q25" s="3">
        <v>2278</v>
      </c>
      <c r="R25" s="3">
        <v>12659</v>
      </c>
      <c r="S25" s="3">
        <v>7674</v>
      </c>
    </row>
    <row r="26" spans="1:19" ht="18" customHeight="1" x14ac:dyDescent="0.3">
      <c r="A26" s="4" t="s">
        <v>26</v>
      </c>
      <c r="B26" s="3">
        <v>8548</v>
      </c>
      <c r="C26" s="3">
        <v>7020</v>
      </c>
      <c r="D26" s="3">
        <v>11442</v>
      </c>
      <c r="E26" s="3">
        <v>18930</v>
      </c>
      <c r="F26" s="2">
        <v>5929</v>
      </c>
      <c r="G26" s="3">
        <v>3127</v>
      </c>
      <c r="H26" s="3">
        <v>7971</v>
      </c>
      <c r="I26" s="3">
        <v>1114</v>
      </c>
      <c r="J26" s="3">
        <v>2686</v>
      </c>
      <c r="K26" s="3">
        <v>24099</v>
      </c>
      <c r="L26" s="3">
        <v>4467</v>
      </c>
      <c r="M26" s="3">
        <v>15755</v>
      </c>
      <c r="N26" s="3">
        <v>9737</v>
      </c>
      <c r="O26" s="3">
        <v>7806</v>
      </c>
      <c r="P26" s="3">
        <v>8895</v>
      </c>
      <c r="Q26" s="3">
        <v>1892</v>
      </c>
      <c r="R26" s="3">
        <v>15434</v>
      </c>
      <c r="S26" s="3">
        <v>9598</v>
      </c>
    </row>
    <row r="27" spans="1:19" ht="18" customHeight="1" x14ac:dyDescent="0.3">
      <c r="A27" s="4" t="s">
        <v>27</v>
      </c>
      <c r="B27" s="3">
        <v>9945</v>
      </c>
      <c r="C27" s="3">
        <v>5296</v>
      </c>
      <c r="D27" s="3">
        <v>6821</v>
      </c>
      <c r="E27" s="3">
        <v>13982</v>
      </c>
      <c r="F27" s="2">
        <v>4270</v>
      </c>
      <c r="G27" s="3">
        <v>4263</v>
      </c>
      <c r="H27" s="3">
        <v>4999</v>
      </c>
      <c r="I27" s="3">
        <v>1052</v>
      </c>
      <c r="J27" s="3">
        <v>2399</v>
      </c>
      <c r="K27" s="3">
        <v>8924</v>
      </c>
      <c r="L27" s="3">
        <v>6682</v>
      </c>
      <c r="M27" s="3">
        <v>19393</v>
      </c>
      <c r="N27" s="3">
        <v>16609</v>
      </c>
      <c r="O27" s="3">
        <v>11825</v>
      </c>
      <c r="P27" s="3">
        <v>1653</v>
      </c>
      <c r="Q27" s="3">
        <v>9176</v>
      </c>
      <c r="R27" s="3">
        <v>12624</v>
      </c>
      <c r="S27" s="3">
        <v>13914</v>
      </c>
    </row>
    <row r="28" spans="1:19" ht="18" customHeight="1" x14ac:dyDescent="0.3">
      <c r="A28" s="4" t="s">
        <v>28</v>
      </c>
      <c r="B28" s="3">
        <v>4761</v>
      </c>
      <c r="C28" s="3">
        <v>7403</v>
      </c>
      <c r="D28" s="3">
        <v>6749</v>
      </c>
      <c r="E28" s="3">
        <v>11507</v>
      </c>
      <c r="F28" s="2">
        <v>5421</v>
      </c>
      <c r="G28" s="3">
        <v>4728</v>
      </c>
      <c r="H28" s="3">
        <v>7158</v>
      </c>
      <c r="I28" s="3">
        <v>1116</v>
      </c>
      <c r="J28" s="3">
        <v>4276</v>
      </c>
      <c r="K28" s="3">
        <v>13907</v>
      </c>
      <c r="L28" s="3">
        <v>10606</v>
      </c>
      <c r="M28" s="3">
        <v>17174</v>
      </c>
      <c r="N28" s="3">
        <v>11717</v>
      </c>
      <c r="O28" s="3">
        <v>1876</v>
      </c>
      <c r="P28" s="3">
        <v>12535</v>
      </c>
      <c r="Q28" s="3">
        <v>19307</v>
      </c>
      <c r="R28" s="3">
        <v>2867</v>
      </c>
      <c r="S28" s="3">
        <v>6394</v>
      </c>
    </row>
    <row r="29" spans="1:19" ht="18" customHeight="1" x14ac:dyDescent="0.3">
      <c r="A29" s="4" t="s">
        <v>29</v>
      </c>
      <c r="B29" s="3">
        <v>9865</v>
      </c>
      <c r="C29" s="3">
        <v>15226</v>
      </c>
      <c r="D29" s="3">
        <v>14401</v>
      </c>
      <c r="E29" s="3">
        <v>9031</v>
      </c>
      <c r="F29" s="2">
        <v>3259</v>
      </c>
      <c r="G29" s="3">
        <v>3679</v>
      </c>
      <c r="H29" s="3">
        <v>8406</v>
      </c>
      <c r="I29" s="3">
        <v>2123</v>
      </c>
      <c r="J29" s="3">
        <v>14697</v>
      </c>
      <c r="K29" s="3">
        <v>16827</v>
      </c>
      <c r="L29" s="3">
        <v>10922</v>
      </c>
      <c r="M29" s="3">
        <v>9646</v>
      </c>
      <c r="N29" s="3">
        <v>8703</v>
      </c>
      <c r="O29" s="3">
        <v>14601</v>
      </c>
      <c r="P29" s="3">
        <v>14841</v>
      </c>
      <c r="Q29" s="3">
        <v>13340</v>
      </c>
      <c r="R29" s="3">
        <v>10684</v>
      </c>
      <c r="S29" s="3">
        <v>4229</v>
      </c>
    </row>
    <row r="30" spans="1:19" ht="18" customHeight="1" x14ac:dyDescent="0.3">
      <c r="A30" t="s">
        <v>8</v>
      </c>
      <c r="B30" s="3">
        <v>15487</v>
      </c>
      <c r="C30" s="3">
        <v>9722</v>
      </c>
      <c r="D30" s="3">
        <v>14210</v>
      </c>
      <c r="E30" s="3">
        <v>2042</v>
      </c>
      <c r="F30" s="2">
        <v>2943</v>
      </c>
      <c r="G30" s="3">
        <v>3943</v>
      </c>
      <c r="H30" s="3">
        <v>11987</v>
      </c>
      <c r="I30" s="3">
        <v>1183</v>
      </c>
      <c r="J30" s="3">
        <v>3071</v>
      </c>
      <c r="K30" s="3">
        <v>11292</v>
      </c>
      <c r="L30" s="3">
        <v>5787</v>
      </c>
      <c r="M30" s="3">
        <v>12853</v>
      </c>
      <c r="N30" s="3">
        <v>4725</v>
      </c>
      <c r="O30" s="3">
        <v>16903</v>
      </c>
      <c r="P30" s="3">
        <v>12573</v>
      </c>
      <c r="Q30" s="3">
        <v>7091</v>
      </c>
      <c r="R30" s="3">
        <v>7928</v>
      </c>
      <c r="S30" s="3">
        <v>8305</v>
      </c>
    </row>
    <row r="31" spans="1:19" ht="18" customHeight="1" x14ac:dyDescent="0.3">
      <c r="A31" t="s">
        <v>2</v>
      </c>
      <c r="B31" s="3">
        <v>4885</v>
      </c>
      <c r="C31" s="3">
        <v>2018</v>
      </c>
      <c r="D31" s="3">
        <v>17498</v>
      </c>
      <c r="E31" s="3">
        <v>14657</v>
      </c>
      <c r="F31" s="2">
        <v>5529</v>
      </c>
      <c r="G31" s="3">
        <v>4925</v>
      </c>
      <c r="H31" s="3">
        <v>3122</v>
      </c>
      <c r="I31" s="3">
        <v>1629</v>
      </c>
      <c r="J31" s="3">
        <v>14684</v>
      </c>
      <c r="K31" s="3">
        <v>20871</v>
      </c>
      <c r="L31" s="3">
        <v>11431</v>
      </c>
      <c r="M31" s="3">
        <v>4224</v>
      </c>
      <c r="N31" s="3">
        <v>10985</v>
      </c>
      <c r="O31" s="3">
        <v>6097</v>
      </c>
      <c r="P31" s="3">
        <v>19779</v>
      </c>
      <c r="Q31" s="3">
        <v>10209</v>
      </c>
      <c r="R31" s="3">
        <v>1422</v>
      </c>
      <c r="S31" s="3">
        <v>11891</v>
      </c>
    </row>
    <row r="32" spans="1:19" ht="18" customHeight="1" x14ac:dyDescent="0.3">
      <c r="A32" s="4" t="s">
        <v>30</v>
      </c>
      <c r="B32" s="3">
        <v>7956</v>
      </c>
      <c r="C32" s="3">
        <v>9423</v>
      </c>
      <c r="D32" s="3">
        <v>8701</v>
      </c>
      <c r="E32" s="3">
        <v>11459</v>
      </c>
      <c r="F32" s="2">
        <v>2380</v>
      </c>
      <c r="G32" s="3">
        <v>3247</v>
      </c>
      <c r="H32" s="3">
        <v>11956</v>
      </c>
      <c r="I32" s="3">
        <v>1156</v>
      </c>
      <c r="J32" s="3">
        <v>3098</v>
      </c>
      <c r="K32" s="3">
        <v>8531</v>
      </c>
      <c r="L32" s="3">
        <v>18245</v>
      </c>
      <c r="M32" s="3">
        <v>7416</v>
      </c>
      <c r="N32" s="3">
        <v>12834</v>
      </c>
      <c r="O32" s="3">
        <v>13555</v>
      </c>
      <c r="P32" s="3">
        <v>13467</v>
      </c>
      <c r="Q32" s="3">
        <v>11006</v>
      </c>
      <c r="R32" s="3">
        <v>3755</v>
      </c>
      <c r="S32" s="3">
        <v>9682</v>
      </c>
    </row>
    <row r="34" spans="1:5" ht="18" customHeight="1" x14ac:dyDescent="0.3">
      <c r="A34">
        <v>1</v>
      </c>
    </row>
    <row r="35" spans="1:5" ht="18" customHeight="1" x14ac:dyDescent="0.3">
      <c r="A35" s="1"/>
      <c r="B35" s="1"/>
      <c r="C35" s="1"/>
      <c r="D35" s="1"/>
      <c r="E35" s="1"/>
    </row>
  </sheetData>
  <sortState xmlns:xlrd2="http://schemas.microsoft.com/office/spreadsheetml/2017/richdata2" ref="A3:E36">
    <sortCondition ref="A3"/>
  </sortState>
  <mergeCells count="1">
    <mergeCell ref="A1:S1"/>
  </mergeCells>
  <pageMargins left="0.70866141732283472" right="0.70866141732283472" top="0.74803149606299213" bottom="0.74803149606299213" header="0.31496062992125984" footer="0.31496062992125984"/>
  <pageSetup scale="46" orientation="landscape" r:id="rId1"/>
  <headerFooter>
    <oddHeader>&amp;CPage &amp;P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98A4-FB51-4B58-B5AB-C2234E8313E8}">
  <dimension ref="A1:I14"/>
  <sheetViews>
    <sheetView zoomScale="106" zoomScaleNormal="106" workbookViewId="0">
      <selection activeCell="I5" sqref="I5:I8"/>
    </sheetView>
  </sheetViews>
  <sheetFormatPr defaultRowHeight="14.4" x14ac:dyDescent="0.3"/>
  <cols>
    <col min="1" max="1" width="21" customWidth="1"/>
    <col min="2" max="4" width="12.6640625" bestFit="1" customWidth="1"/>
    <col min="5" max="5" width="13.6640625" bestFit="1" customWidth="1"/>
    <col min="6" max="6" width="9.44140625" bestFit="1" customWidth="1"/>
  </cols>
  <sheetData>
    <row r="1" spans="1:9" ht="21" x14ac:dyDescent="0.4">
      <c r="A1" s="74" t="s">
        <v>293</v>
      </c>
      <c r="B1" s="75"/>
      <c r="C1" s="75"/>
      <c r="D1" s="75"/>
      <c r="E1" s="75"/>
      <c r="F1" s="75"/>
    </row>
    <row r="2" spans="1:9" x14ac:dyDescent="0.3">
      <c r="A2" t="s">
        <v>294</v>
      </c>
      <c r="B2" s="75"/>
      <c r="C2" s="75"/>
      <c r="D2" s="75" t="s">
        <v>295</v>
      </c>
      <c r="E2" s="75">
        <v>0.22</v>
      </c>
      <c r="F2" s="75"/>
      <c r="G2" t="s">
        <v>326</v>
      </c>
      <c r="I2">
        <v>8241</v>
      </c>
    </row>
    <row r="3" spans="1:9" x14ac:dyDescent="0.3">
      <c r="B3" s="75"/>
      <c r="C3" s="75"/>
      <c r="D3" s="75"/>
      <c r="E3" s="75"/>
      <c r="F3" s="75"/>
    </row>
    <row r="4" spans="1:9" x14ac:dyDescent="0.3">
      <c r="A4" s="76" t="s">
        <v>296</v>
      </c>
      <c r="B4" s="77" t="s">
        <v>297</v>
      </c>
      <c r="C4" s="77" t="s">
        <v>298</v>
      </c>
      <c r="D4" s="77" t="s">
        <v>299</v>
      </c>
      <c r="E4" s="77" t="s">
        <v>300</v>
      </c>
      <c r="F4" s="77" t="s">
        <v>50</v>
      </c>
      <c r="G4" s="77" t="s">
        <v>301</v>
      </c>
      <c r="H4" s="77" t="s">
        <v>307</v>
      </c>
      <c r="I4" s="77" t="s">
        <v>310</v>
      </c>
    </row>
    <row r="5" spans="1:9" x14ac:dyDescent="0.3">
      <c r="A5" s="78" t="s">
        <v>302</v>
      </c>
      <c r="B5" s="79">
        <v>1259</v>
      </c>
      <c r="C5" s="79">
        <v>1345</v>
      </c>
      <c r="D5" s="79">
        <v>2430</v>
      </c>
      <c r="E5" s="79">
        <v>2314</v>
      </c>
      <c r="F5" s="80">
        <f>SUM(B5:E5)</f>
        <v>7348</v>
      </c>
      <c r="G5">
        <f>F5*$E$2</f>
        <v>1616.56</v>
      </c>
      <c r="H5">
        <f>IF(F5&gt;8000,1000,500)</f>
        <v>500</v>
      </c>
      <c r="I5" t="str">
        <f>IF(F5&gt;=$I$2, "YES", "NO")</f>
        <v>NO</v>
      </c>
    </row>
    <row r="6" spans="1:9" x14ac:dyDescent="0.3">
      <c r="A6" s="78" t="s">
        <v>303</v>
      </c>
      <c r="B6" s="81">
        <v>1536</v>
      </c>
      <c r="C6" s="81">
        <v>2301</v>
      </c>
      <c r="D6" s="81">
        <v>1834</v>
      </c>
      <c r="E6" s="81">
        <v>2543</v>
      </c>
      <c r="F6" s="80">
        <f t="shared" ref="F6:F8" si="0">SUM(B6:E6)</f>
        <v>8214</v>
      </c>
      <c r="G6">
        <f t="shared" ref="G6:G8" si="1">F6*$E$2</f>
        <v>1807.08</v>
      </c>
      <c r="H6">
        <f t="shared" ref="H6:H9" si="2">IF(F6&gt;8000,1000,500)</f>
        <v>1000</v>
      </c>
      <c r="I6" t="str">
        <f t="shared" ref="I6:I8" si="3">IF(F6&gt;=$I$2, "YES", "NO")</f>
        <v>NO</v>
      </c>
    </row>
    <row r="7" spans="1:9" x14ac:dyDescent="0.3">
      <c r="A7" s="78" t="s">
        <v>72</v>
      </c>
      <c r="B7" s="81">
        <v>1945</v>
      </c>
      <c r="C7" s="81">
        <v>3012</v>
      </c>
      <c r="D7" s="81">
        <v>2315</v>
      </c>
      <c r="E7" s="81">
        <v>3126</v>
      </c>
      <c r="F7" s="80">
        <f t="shared" si="0"/>
        <v>10398</v>
      </c>
      <c r="G7">
        <f t="shared" si="1"/>
        <v>2287.56</v>
      </c>
      <c r="H7">
        <f t="shared" si="2"/>
        <v>1000</v>
      </c>
      <c r="I7" t="str">
        <f t="shared" si="3"/>
        <v>YES</v>
      </c>
    </row>
    <row r="8" spans="1:9" x14ac:dyDescent="0.3">
      <c r="A8" s="78" t="s">
        <v>83</v>
      </c>
      <c r="B8" s="81">
        <v>1385</v>
      </c>
      <c r="C8" s="81">
        <v>1945</v>
      </c>
      <c r="D8" s="81">
        <v>2301</v>
      </c>
      <c r="E8" s="81">
        <v>3294</v>
      </c>
      <c r="F8" s="80">
        <f t="shared" si="0"/>
        <v>8925</v>
      </c>
      <c r="G8">
        <f t="shared" si="1"/>
        <v>1963.5</v>
      </c>
      <c r="H8">
        <f t="shared" si="2"/>
        <v>1000</v>
      </c>
      <c r="I8" t="str">
        <f t="shared" si="3"/>
        <v>YES</v>
      </c>
    </row>
    <row r="9" spans="1:9" x14ac:dyDescent="0.3">
      <c r="A9" s="76" t="s">
        <v>304</v>
      </c>
      <c r="B9" s="82"/>
      <c r="C9" s="82"/>
      <c r="D9" s="82"/>
      <c r="E9" s="82"/>
      <c r="F9" s="80"/>
      <c r="H9">
        <f t="shared" si="2"/>
        <v>500</v>
      </c>
    </row>
    <row r="10" spans="1:9" x14ac:dyDescent="0.3">
      <c r="B10" s="75"/>
    </row>
    <row r="11" spans="1:9" x14ac:dyDescent="0.3">
      <c r="A11" s="78" t="s">
        <v>305</v>
      </c>
      <c r="B11" s="75"/>
    </row>
    <row r="12" spans="1:9" x14ac:dyDescent="0.3">
      <c r="A12" s="78" t="s">
        <v>306</v>
      </c>
      <c r="B12" s="75"/>
    </row>
    <row r="13" spans="1:9" x14ac:dyDescent="0.3">
      <c r="B13" s="75"/>
    </row>
    <row r="14" spans="1:9" x14ac:dyDescent="0.3">
      <c r="B14" s="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AF44-065A-4FCF-A240-6A01041A3538}">
  <dimension ref="A1:C11"/>
  <sheetViews>
    <sheetView workbookViewId="0">
      <selection activeCell="S16" sqref="S16"/>
    </sheetView>
  </sheetViews>
  <sheetFormatPr defaultRowHeight="14.4" x14ac:dyDescent="0.3"/>
  <cols>
    <col min="2" max="2" width="9.6640625" customWidth="1"/>
  </cols>
  <sheetData>
    <row r="1" spans="1:3" x14ac:dyDescent="0.3">
      <c r="A1" s="1" t="s">
        <v>283</v>
      </c>
      <c r="B1" s="1" t="s">
        <v>284</v>
      </c>
      <c r="C1" s="1" t="s">
        <v>285</v>
      </c>
    </row>
    <row r="2" spans="1:3" x14ac:dyDescent="0.3">
      <c r="A2" t="s">
        <v>286</v>
      </c>
      <c r="B2">
        <v>2</v>
      </c>
      <c r="C2" cm="1">
        <f t="array" ref="C2:C7">B2:B7*B11</f>
        <v>4</v>
      </c>
    </row>
    <row r="3" spans="1:3" x14ac:dyDescent="0.3">
      <c r="A3" t="s">
        <v>287</v>
      </c>
      <c r="B3">
        <v>5</v>
      </c>
      <c r="C3">
        <v>10</v>
      </c>
    </row>
    <row r="4" spans="1:3" x14ac:dyDescent="0.3">
      <c r="A4" t="s">
        <v>288</v>
      </c>
      <c r="B4">
        <v>10</v>
      </c>
      <c r="C4">
        <v>20</v>
      </c>
    </row>
    <row r="5" spans="1:3" x14ac:dyDescent="0.3">
      <c r="A5" t="s">
        <v>289</v>
      </c>
      <c r="B5">
        <v>7</v>
      </c>
      <c r="C5">
        <v>14</v>
      </c>
    </row>
    <row r="6" spans="1:3" x14ac:dyDescent="0.3">
      <c r="A6" t="s">
        <v>290</v>
      </c>
      <c r="B6">
        <v>6</v>
      </c>
      <c r="C6">
        <v>12</v>
      </c>
    </row>
    <row r="7" spans="1:3" x14ac:dyDescent="0.3">
      <c r="A7" t="s">
        <v>291</v>
      </c>
      <c r="B7">
        <v>3</v>
      </c>
      <c r="C7">
        <v>6</v>
      </c>
    </row>
    <row r="11" spans="1:3" x14ac:dyDescent="0.3">
      <c r="A11" s="73" t="s">
        <v>292</v>
      </c>
      <c r="B11" s="73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A9B7-F640-4E42-AD72-0AA42FDF2816}">
  <dimension ref="A1:R123"/>
  <sheetViews>
    <sheetView topLeftCell="F1" workbookViewId="0">
      <selection activeCell="N15" sqref="N15"/>
    </sheetView>
  </sheetViews>
  <sheetFormatPr defaultColWidth="9.109375" defaultRowHeight="13.2" x14ac:dyDescent="0.25"/>
  <cols>
    <col min="1" max="1" width="17.33203125" style="13" customWidth="1"/>
    <col min="2" max="2" width="13.88671875" style="13" customWidth="1"/>
    <col min="3" max="4" width="12.109375" style="13" customWidth="1"/>
    <col min="5" max="9" width="14" style="13" bestFit="1" customWidth="1"/>
    <col min="10" max="10" width="12.33203125" style="13" bestFit="1" customWidth="1"/>
    <col min="11" max="11" width="6.5546875" style="13" customWidth="1"/>
    <col min="12" max="12" width="10.6640625" style="13" customWidth="1"/>
    <col min="13" max="13" width="10" style="13" bestFit="1" customWidth="1"/>
    <col min="14" max="14" width="9.109375" style="13"/>
    <col min="15" max="15" width="11.109375" style="13" customWidth="1"/>
    <col min="16" max="16384" width="9.109375" style="13"/>
  </cols>
  <sheetData>
    <row r="1" spans="1:18" ht="45" customHeight="1" x14ac:dyDescent="0.4">
      <c r="A1" s="98" t="s">
        <v>32</v>
      </c>
      <c r="B1" s="98"/>
      <c r="C1" s="98"/>
      <c r="D1" s="98"/>
      <c r="E1" s="98"/>
      <c r="F1" s="98"/>
      <c r="G1" s="98"/>
      <c r="H1" s="98"/>
      <c r="I1" s="10"/>
      <c r="J1" s="11" t="s">
        <v>33</v>
      </c>
      <c r="K1" s="12">
        <f>COUNTA(LastName)</f>
        <v>51</v>
      </c>
      <c r="M1" s="13" t="s">
        <v>34</v>
      </c>
      <c r="N1" s="13">
        <f>COUNTIF(Region, "East")</f>
        <v>7</v>
      </c>
      <c r="O1" s="13" t="s">
        <v>35</v>
      </c>
      <c r="P1" s="13">
        <f>COUNTIF(Region, "South")</f>
        <v>6</v>
      </c>
      <c r="Q1" s="13" t="s">
        <v>36</v>
      </c>
      <c r="R1" s="13">
        <f>COUNTIF(Region, "Midwest")</f>
        <v>3</v>
      </c>
    </row>
    <row r="2" spans="1:18" x14ac:dyDescent="0.25">
      <c r="A2" s="99" t="s">
        <v>37</v>
      </c>
      <c r="B2" s="99"/>
      <c r="C2" s="99"/>
      <c r="D2" s="99"/>
      <c r="E2" s="99"/>
      <c r="F2" s="99"/>
      <c r="G2" s="99"/>
      <c r="H2" s="99"/>
      <c r="J2" s="11"/>
      <c r="K2" s="15"/>
    </row>
    <row r="3" spans="1:18" ht="52.8" x14ac:dyDescent="0.25">
      <c r="A3" s="14"/>
      <c r="B3" s="14"/>
      <c r="C3" s="14"/>
      <c r="D3" s="14"/>
      <c r="E3" s="14"/>
      <c r="F3" s="14"/>
      <c r="G3" s="14"/>
      <c r="H3" s="14"/>
      <c r="J3" s="11" t="s">
        <v>38</v>
      </c>
      <c r="K3" s="12">
        <f>COUNTA(Region)</f>
        <v>37</v>
      </c>
      <c r="M3" s="13" t="s">
        <v>39</v>
      </c>
      <c r="N3" s="13">
        <f>COUNTIF(Region, "west")</f>
        <v>10</v>
      </c>
      <c r="O3" s="13" t="s">
        <v>40</v>
      </c>
      <c r="P3" s="13">
        <f>COUNTIF(Region, "North")</f>
        <v>2</v>
      </c>
      <c r="Q3" s="13" t="s">
        <v>41</v>
      </c>
      <c r="R3" s="13">
        <f>COUNTIF(Region, "Southwest")</f>
        <v>7</v>
      </c>
    </row>
    <row r="4" spans="1:18" ht="13.8" thickBot="1" x14ac:dyDescent="0.3">
      <c r="A4" s="16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16" t="s">
        <v>50</v>
      </c>
      <c r="J4" s="17"/>
    </row>
    <row r="5" spans="1:18" ht="13.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7"/>
    </row>
    <row r="6" spans="1:18" ht="27" x14ac:dyDescent="0.3">
      <c r="A6" s="13" t="s">
        <v>51</v>
      </c>
      <c r="B6" s="13" t="s">
        <v>52</v>
      </c>
      <c r="C6" s="13" t="s">
        <v>53</v>
      </c>
      <c r="D6" s="18" t="s">
        <v>54</v>
      </c>
      <c r="E6" s="19">
        <v>14815</v>
      </c>
      <c r="F6" s="19">
        <v>13100</v>
      </c>
      <c r="G6" s="19">
        <v>11580</v>
      </c>
      <c r="H6" s="19">
        <v>17300</v>
      </c>
      <c r="I6" s="19">
        <f t="shared" ref="I6:I36" si="0">SUM(E6:H6)</f>
        <v>56795</v>
      </c>
      <c r="L6" s="25" t="s">
        <v>44</v>
      </c>
      <c r="M6" s="26" t="s">
        <v>45</v>
      </c>
      <c r="N6" s="26" t="s">
        <v>55</v>
      </c>
    </row>
    <row r="7" spans="1:18" ht="14.4" x14ac:dyDescent="0.3">
      <c r="E7" s="19"/>
      <c r="F7" s="19"/>
      <c r="G7" s="19"/>
      <c r="H7" s="19"/>
      <c r="I7" s="19"/>
      <c r="L7" s="20" t="s">
        <v>53</v>
      </c>
      <c r="M7" s="20" t="s">
        <v>54</v>
      </c>
      <c r="N7" s="21">
        <f>COUNTIFS(Region, L7, Manager, M7)</f>
        <v>2</v>
      </c>
    </row>
    <row r="8" spans="1:18" ht="14.4" x14ac:dyDescent="0.3">
      <c r="A8" s="13" t="s">
        <v>56</v>
      </c>
      <c r="B8" s="13" t="s">
        <v>57</v>
      </c>
      <c r="D8" s="18" t="s">
        <v>58</v>
      </c>
      <c r="E8" s="19">
        <v>24500</v>
      </c>
      <c r="F8" s="19">
        <v>25600</v>
      </c>
      <c r="G8" s="19">
        <v>22000</v>
      </c>
      <c r="H8" s="19">
        <v>19000</v>
      </c>
      <c r="I8" s="19">
        <f t="shared" si="0"/>
        <v>91100</v>
      </c>
    </row>
    <row r="9" spans="1:18" ht="14.4" x14ac:dyDescent="0.3">
      <c r="E9" s="19"/>
      <c r="F9" s="19"/>
      <c r="G9" s="19"/>
      <c r="H9" s="19"/>
      <c r="I9" s="19"/>
    </row>
    <row r="10" spans="1:18" ht="14.4" x14ac:dyDescent="0.3">
      <c r="A10" s="13" t="s">
        <v>59</v>
      </c>
      <c r="B10" s="13" t="s">
        <v>60</v>
      </c>
      <c r="C10" s="13" t="s">
        <v>61</v>
      </c>
      <c r="D10" s="18" t="s">
        <v>62</v>
      </c>
      <c r="E10" s="19">
        <v>20900</v>
      </c>
      <c r="F10" s="19">
        <v>22600</v>
      </c>
      <c r="G10" s="19">
        <v>20140</v>
      </c>
      <c r="H10" s="19">
        <v>24400</v>
      </c>
      <c r="I10" s="19">
        <f t="shared" si="0"/>
        <v>88040</v>
      </c>
    </row>
    <row r="11" spans="1:18" ht="14.4" x14ac:dyDescent="0.3">
      <c r="E11" s="19"/>
      <c r="F11" s="19"/>
      <c r="G11" s="19"/>
      <c r="H11" s="19"/>
      <c r="I11" s="19"/>
      <c r="L11" s="18"/>
      <c r="M11" s="18"/>
      <c r="N11" s="18"/>
      <c r="O11" s="18"/>
    </row>
    <row r="12" spans="1:18" ht="14.4" x14ac:dyDescent="0.3">
      <c r="A12" s="13" t="s">
        <v>63</v>
      </c>
      <c r="B12" s="13" t="s">
        <v>64</v>
      </c>
      <c r="C12" s="13" t="s">
        <v>53</v>
      </c>
      <c r="D12" s="18" t="s">
        <v>65</v>
      </c>
      <c r="E12" s="19">
        <v>15900</v>
      </c>
      <c r="F12" s="19">
        <v>22700</v>
      </c>
      <c r="G12" s="19">
        <v>17600</v>
      </c>
      <c r="H12" s="19">
        <v>20000</v>
      </c>
      <c r="I12" s="19">
        <f t="shared" si="0"/>
        <v>76200</v>
      </c>
      <c r="L12" s="18"/>
      <c r="M12" s="18"/>
      <c r="N12" s="18"/>
    </row>
    <row r="13" spans="1:18" ht="27" x14ac:dyDescent="0.3">
      <c r="E13" s="19"/>
      <c r="F13" s="19"/>
      <c r="G13" s="19"/>
      <c r="H13" s="19"/>
      <c r="I13" s="19"/>
      <c r="L13" s="26" t="s">
        <v>44</v>
      </c>
      <c r="M13" s="26" t="s">
        <v>45</v>
      </c>
      <c r="N13" s="26" t="s">
        <v>66</v>
      </c>
    </row>
    <row r="14" spans="1:18" ht="14.4" x14ac:dyDescent="0.3">
      <c r="A14" s="13" t="s">
        <v>67</v>
      </c>
      <c r="B14" s="13" t="s">
        <v>68</v>
      </c>
      <c r="C14" s="13" t="s">
        <v>69</v>
      </c>
      <c r="D14" s="18" t="s">
        <v>62</v>
      </c>
      <c r="E14" s="19">
        <v>25000</v>
      </c>
      <c r="F14" s="19">
        <v>34000</v>
      </c>
      <c r="G14" s="19">
        <v>21000</v>
      </c>
      <c r="H14" s="19">
        <v>35000</v>
      </c>
      <c r="I14" s="19">
        <f t="shared" si="0"/>
        <v>115000</v>
      </c>
      <c r="L14" s="22" t="s">
        <v>61</v>
      </c>
      <c r="M14" s="22" t="s">
        <v>65</v>
      </c>
      <c r="N14" s="23">
        <f>SUMIFS(Total, Region, L14, Manager, M14)</f>
        <v>143203</v>
      </c>
    </row>
    <row r="15" spans="1:18" ht="14.4" x14ac:dyDescent="0.3">
      <c r="E15" s="19"/>
      <c r="F15" s="19"/>
      <c r="G15" s="19"/>
      <c r="H15" s="19"/>
      <c r="I15" s="19"/>
    </row>
    <row r="16" spans="1:18" ht="14.4" x14ac:dyDescent="0.3">
      <c r="A16" s="13" t="s">
        <v>70</v>
      </c>
      <c r="B16" s="13" t="s">
        <v>71</v>
      </c>
      <c r="C16" s="13" t="s">
        <v>72</v>
      </c>
      <c r="D16" s="18" t="s">
        <v>62</v>
      </c>
      <c r="E16" s="19">
        <v>24110</v>
      </c>
      <c r="F16" s="19">
        <v>54812</v>
      </c>
      <c r="G16" s="19">
        <v>15200</v>
      </c>
      <c r="H16" s="19">
        <v>25600</v>
      </c>
      <c r="I16" s="19">
        <f t="shared" si="0"/>
        <v>119722</v>
      </c>
    </row>
    <row r="17" spans="1:9" ht="14.4" x14ac:dyDescent="0.3">
      <c r="E17" s="19"/>
      <c r="F17" s="19"/>
      <c r="G17" s="19"/>
      <c r="H17" s="19"/>
      <c r="I17" s="19"/>
    </row>
    <row r="18" spans="1:9" ht="14.4" x14ac:dyDescent="0.3">
      <c r="A18" s="13" t="s">
        <v>73</v>
      </c>
      <c r="B18" s="13" t="s">
        <v>74</v>
      </c>
      <c r="C18" s="13" t="s">
        <v>61</v>
      </c>
      <c r="D18" s="18" t="s">
        <v>75</v>
      </c>
      <c r="E18" s="19">
        <v>25600</v>
      </c>
      <c r="F18" s="19">
        <v>48752</v>
      </c>
      <c r="G18" s="19">
        <v>30300</v>
      </c>
      <c r="H18" s="19">
        <v>22600</v>
      </c>
      <c r="I18" s="19">
        <f t="shared" si="0"/>
        <v>127252</v>
      </c>
    </row>
    <row r="19" spans="1:9" ht="14.4" x14ac:dyDescent="0.3">
      <c r="E19" s="19"/>
      <c r="F19" s="19"/>
      <c r="G19" s="19"/>
      <c r="H19" s="19"/>
      <c r="I19" s="19"/>
    </row>
    <row r="20" spans="1:9" ht="14.4" x14ac:dyDescent="0.3">
      <c r="A20" s="13" t="s">
        <v>76</v>
      </c>
      <c r="B20" s="13" t="s">
        <v>77</v>
      </c>
      <c r="C20" s="13" t="s">
        <v>78</v>
      </c>
      <c r="D20" s="18" t="s">
        <v>65</v>
      </c>
      <c r="E20" s="19">
        <v>22600</v>
      </c>
      <c r="F20" s="19">
        <v>58445</v>
      </c>
      <c r="G20" s="19">
        <v>16800</v>
      </c>
      <c r="H20" s="19">
        <v>22700</v>
      </c>
      <c r="I20" s="19">
        <f t="shared" si="0"/>
        <v>120545</v>
      </c>
    </row>
    <row r="21" spans="1:9" ht="14.4" x14ac:dyDescent="0.3">
      <c r="E21" s="19"/>
      <c r="F21" s="19"/>
      <c r="G21" s="19"/>
      <c r="H21" s="19"/>
      <c r="I21" s="19"/>
    </row>
    <row r="22" spans="1:9" ht="14.4" x14ac:dyDescent="0.3">
      <c r="A22" s="13" t="s">
        <v>79</v>
      </c>
      <c r="B22" s="13" t="s">
        <v>80</v>
      </c>
      <c r="D22" s="18" t="s">
        <v>75</v>
      </c>
      <c r="E22" s="19">
        <v>22700</v>
      </c>
      <c r="F22" s="19">
        <v>48648</v>
      </c>
      <c r="G22" s="19">
        <v>36855</v>
      </c>
      <c r="H22" s="19">
        <v>35000</v>
      </c>
      <c r="I22" s="19">
        <f t="shared" si="0"/>
        <v>143203</v>
      </c>
    </row>
    <row r="23" spans="1:9" ht="14.4" x14ac:dyDescent="0.3">
      <c r="E23" s="19"/>
      <c r="F23" s="19"/>
      <c r="G23" s="19"/>
      <c r="H23" s="19"/>
      <c r="I23" s="19"/>
    </row>
    <row r="24" spans="1:9" ht="14.4" x14ac:dyDescent="0.3">
      <c r="A24" s="13" t="s">
        <v>81</v>
      </c>
      <c r="B24" s="13" t="s">
        <v>82</v>
      </c>
      <c r="C24" s="13" t="s">
        <v>83</v>
      </c>
      <c r="D24" s="18" t="s">
        <v>65</v>
      </c>
      <c r="E24" s="19">
        <v>23300</v>
      </c>
      <c r="F24" s="19">
        <v>24600</v>
      </c>
      <c r="G24" s="19">
        <v>21380</v>
      </c>
      <c r="H24" s="19">
        <v>15937</v>
      </c>
      <c r="I24" s="19">
        <f t="shared" si="0"/>
        <v>85217</v>
      </c>
    </row>
    <row r="25" spans="1:9" ht="14.4" x14ac:dyDescent="0.3">
      <c r="E25" s="19"/>
      <c r="F25" s="19"/>
      <c r="G25" s="19"/>
      <c r="H25" s="19"/>
      <c r="I25" s="19"/>
    </row>
    <row r="26" spans="1:9" ht="14.4" x14ac:dyDescent="0.3">
      <c r="A26" s="13" t="s">
        <v>84</v>
      </c>
      <c r="B26" s="13" t="s">
        <v>85</v>
      </c>
      <c r="C26" s="13" t="s">
        <v>53</v>
      </c>
      <c r="D26" s="18" t="s">
        <v>54</v>
      </c>
      <c r="E26" s="19">
        <v>23800</v>
      </c>
      <c r="F26" s="19">
        <v>27700</v>
      </c>
      <c r="G26" s="19">
        <v>12600</v>
      </c>
      <c r="H26" s="19">
        <v>35000</v>
      </c>
      <c r="I26" s="19">
        <f t="shared" si="0"/>
        <v>99100</v>
      </c>
    </row>
    <row r="27" spans="1:9" ht="14.4" x14ac:dyDescent="0.3">
      <c r="E27" s="19"/>
      <c r="F27" s="19"/>
      <c r="G27" s="19"/>
      <c r="H27" s="19"/>
      <c r="I27" s="19"/>
    </row>
    <row r="28" spans="1:9" ht="14.4" x14ac:dyDescent="0.3">
      <c r="A28" s="13" t="s">
        <v>86</v>
      </c>
      <c r="B28" s="13" t="s">
        <v>87</v>
      </c>
      <c r="C28" s="13" t="s">
        <v>61</v>
      </c>
      <c r="D28" s="18" t="s">
        <v>58</v>
      </c>
      <c r="E28" s="19">
        <v>54826</v>
      </c>
      <c r="F28" s="19">
        <v>598224</v>
      </c>
      <c r="G28" s="19">
        <v>24100</v>
      </c>
      <c r="H28" s="19">
        <v>28000</v>
      </c>
      <c r="I28" s="19">
        <f t="shared" si="0"/>
        <v>705150</v>
      </c>
    </row>
    <row r="29" spans="1:9" ht="14.4" x14ac:dyDescent="0.3">
      <c r="E29" s="19"/>
      <c r="F29" s="19"/>
      <c r="G29" s="19"/>
      <c r="H29" s="19"/>
      <c r="I29" s="19"/>
    </row>
    <row r="30" spans="1:9" ht="14.4" x14ac:dyDescent="0.3">
      <c r="A30" s="13" t="s">
        <v>88</v>
      </c>
      <c r="B30" s="13" t="s">
        <v>89</v>
      </c>
      <c r="C30" s="13" t="s">
        <v>83</v>
      </c>
      <c r="D30" s="18" t="s">
        <v>54</v>
      </c>
      <c r="E30" s="19">
        <v>31200</v>
      </c>
      <c r="F30" s="19">
        <v>23100</v>
      </c>
      <c r="G30" s="19">
        <v>17700</v>
      </c>
      <c r="H30" s="19">
        <v>29300</v>
      </c>
      <c r="I30" s="19">
        <f t="shared" si="0"/>
        <v>101300</v>
      </c>
    </row>
    <row r="31" spans="1:9" ht="14.4" x14ac:dyDescent="0.3">
      <c r="E31" s="19"/>
      <c r="F31" s="19"/>
      <c r="G31" s="19"/>
      <c r="H31" s="19"/>
      <c r="I31" s="19"/>
    </row>
    <row r="32" spans="1:9" ht="14.4" x14ac:dyDescent="0.3">
      <c r="A32" s="13" t="s">
        <v>90</v>
      </c>
      <c r="B32" s="13" t="s">
        <v>91</v>
      </c>
      <c r="D32" s="18" t="s">
        <v>62</v>
      </c>
      <c r="E32" s="19">
        <v>50224</v>
      </c>
      <c r="F32" s="19">
        <v>17300</v>
      </c>
      <c r="G32" s="19">
        <v>15200</v>
      </c>
      <c r="H32" s="19">
        <v>14600</v>
      </c>
      <c r="I32" s="19">
        <f t="shared" si="0"/>
        <v>97324</v>
      </c>
    </row>
    <row r="33" spans="1:9" ht="14.4" x14ac:dyDescent="0.3">
      <c r="E33" s="19"/>
      <c r="F33" s="19"/>
      <c r="G33" s="19"/>
      <c r="H33" s="19"/>
      <c r="I33" s="19"/>
    </row>
    <row r="34" spans="1:9" ht="14.4" x14ac:dyDescent="0.3">
      <c r="A34" s="13" t="s">
        <v>92</v>
      </c>
      <c r="B34" s="13" t="s">
        <v>93</v>
      </c>
      <c r="C34" s="13" t="s">
        <v>94</v>
      </c>
      <c r="D34" s="18" t="s">
        <v>54</v>
      </c>
      <c r="E34" s="19">
        <v>15500</v>
      </c>
      <c r="F34" s="19">
        <v>19000</v>
      </c>
      <c r="G34" s="19">
        <v>30300</v>
      </c>
      <c r="H34" s="19">
        <v>22600</v>
      </c>
      <c r="I34" s="19">
        <f t="shared" si="0"/>
        <v>87400</v>
      </c>
    </row>
    <row r="35" spans="1:9" ht="14.4" x14ac:dyDescent="0.3">
      <c r="E35" s="19"/>
      <c r="F35" s="19"/>
      <c r="G35" s="19"/>
      <c r="H35" s="19"/>
      <c r="I35" s="19"/>
    </row>
    <row r="36" spans="1:9" ht="14.4" x14ac:dyDescent="0.3">
      <c r="A36" s="13" t="s">
        <v>95</v>
      </c>
      <c r="B36" s="13" t="s">
        <v>96</v>
      </c>
      <c r="D36" s="18" t="s">
        <v>65</v>
      </c>
      <c r="E36" s="19">
        <v>30900</v>
      </c>
      <c r="F36" s="19">
        <v>24400</v>
      </c>
      <c r="G36" s="19">
        <v>16800</v>
      </c>
      <c r="H36" s="19">
        <v>24513</v>
      </c>
      <c r="I36" s="19">
        <f t="shared" si="0"/>
        <v>96613</v>
      </c>
    </row>
    <row r="37" spans="1:9" ht="14.4" x14ac:dyDescent="0.3">
      <c r="E37" s="19"/>
      <c r="F37" s="19"/>
      <c r="G37" s="19"/>
      <c r="H37" s="19"/>
      <c r="I37" s="19"/>
    </row>
    <row r="38" spans="1:9" ht="14.4" x14ac:dyDescent="0.3">
      <c r="A38" s="13" t="s">
        <v>97</v>
      </c>
      <c r="B38" s="13" t="s">
        <v>98</v>
      </c>
      <c r="C38" s="13" t="s">
        <v>53</v>
      </c>
      <c r="D38" s="18" t="s">
        <v>75</v>
      </c>
      <c r="E38" s="19">
        <v>14815</v>
      </c>
      <c r="F38" s="19">
        <v>13100</v>
      </c>
      <c r="G38" s="19">
        <v>11580</v>
      </c>
      <c r="H38" s="19">
        <v>17300</v>
      </c>
      <c r="I38" s="19">
        <f t="shared" ref="I38:I88" si="1">SUM(E38:H38)</f>
        <v>56795</v>
      </c>
    </row>
    <row r="39" spans="1:9" ht="14.4" x14ac:dyDescent="0.3">
      <c r="E39" s="19"/>
      <c r="F39" s="19"/>
      <c r="G39" s="19"/>
      <c r="H39" s="19"/>
      <c r="I39" s="19"/>
    </row>
    <row r="40" spans="1:9" ht="14.4" x14ac:dyDescent="0.3">
      <c r="A40" s="13" t="s">
        <v>99</v>
      </c>
      <c r="B40" s="13" t="s">
        <v>100</v>
      </c>
      <c r="C40" s="13" t="s">
        <v>69</v>
      </c>
      <c r="D40" s="18" t="s">
        <v>58</v>
      </c>
      <c r="E40" s="19">
        <v>24500</v>
      </c>
      <c r="F40" s="19">
        <v>25600</v>
      </c>
      <c r="G40" s="19">
        <v>22000</v>
      </c>
      <c r="H40" s="19">
        <v>19000</v>
      </c>
      <c r="I40" s="19">
        <f t="shared" si="1"/>
        <v>91100</v>
      </c>
    </row>
    <row r="41" spans="1:9" ht="14.4" x14ac:dyDescent="0.3">
      <c r="E41" s="19"/>
      <c r="F41" s="19"/>
      <c r="G41" s="19"/>
      <c r="H41" s="19"/>
      <c r="I41" s="19"/>
    </row>
    <row r="42" spans="1:9" ht="14.4" x14ac:dyDescent="0.3">
      <c r="A42" s="13" t="s">
        <v>101</v>
      </c>
      <c r="B42" s="13" t="s">
        <v>102</v>
      </c>
      <c r="C42" s="13" t="s">
        <v>72</v>
      </c>
      <c r="D42" s="18" t="s">
        <v>62</v>
      </c>
      <c r="E42" s="19">
        <v>20900</v>
      </c>
      <c r="F42" s="19">
        <v>22600</v>
      </c>
      <c r="G42" s="19">
        <v>20140</v>
      </c>
      <c r="H42" s="19">
        <v>24400</v>
      </c>
      <c r="I42" s="19">
        <f t="shared" si="1"/>
        <v>88040</v>
      </c>
    </row>
    <row r="43" spans="1:9" ht="14.4" x14ac:dyDescent="0.3">
      <c r="E43" s="19"/>
      <c r="F43" s="19"/>
      <c r="G43" s="19"/>
      <c r="H43" s="19"/>
      <c r="I43" s="19"/>
    </row>
    <row r="44" spans="1:9" ht="14.4" x14ac:dyDescent="0.3">
      <c r="A44" s="13" t="s">
        <v>103</v>
      </c>
      <c r="B44" s="13" t="s">
        <v>104</v>
      </c>
      <c r="C44" s="13" t="s">
        <v>61</v>
      </c>
      <c r="D44" s="18" t="s">
        <v>75</v>
      </c>
      <c r="E44" s="19">
        <v>15900</v>
      </c>
      <c r="F44" s="19">
        <v>22700</v>
      </c>
      <c r="G44" s="19">
        <v>17600</v>
      </c>
      <c r="H44" s="19">
        <v>20000</v>
      </c>
      <c r="I44" s="19">
        <f t="shared" si="1"/>
        <v>76200</v>
      </c>
    </row>
    <row r="45" spans="1:9" ht="14.4" x14ac:dyDescent="0.3">
      <c r="E45" s="19"/>
      <c r="F45" s="19"/>
      <c r="G45" s="19"/>
      <c r="H45" s="19"/>
      <c r="I45" s="19"/>
    </row>
    <row r="46" spans="1:9" ht="14.4" x14ac:dyDescent="0.3">
      <c r="A46" s="13" t="s">
        <v>105</v>
      </c>
      <c r="B46" s="13" t="s">
        <v>106</v>
      </c>
      <c r="D46" s="18" t="s">
        <v>65</v>
      </c>
      <c r="E46" s="19">
        <v>25000</v>
      </c>
      <c r="F46" s="19">
        <v>34000</v>
      </c>
      <c r="G46" s="19">
        <v>21000</v>
      </c>
      <c r="H46" s="19">
        <v>35000</v>
      </c>
      <c r="I46" s="19">
        <f t="shared" si="1"/>
        <v>115000</v>
      </c>
    </row>
    <row r="47" spans="1:9" ht="14.4" x14ac:dyDescent="0.3">
      <c r="E47" s="19"/>
      <c r="F47" s="19"/>
      <c r="G47" s="19"/>
      <c r="H47" s="19"/>
      <c r="I47" s="19"/>
    </row>
    <row r="48" spans="1:9" ht="14.4" x14ac:dyDescent="0.3">
      <c r="A48" s="13" t="s">
        <v>107</v>
      </c>
      <c r="B48" s="13" t="s">
        <v>108</v>
      </c>
      <c r="C48" s="13" t="s">
        <v>83</v>
      </c>
      <c r="D48" s="18" t="s">
        <v>62</v>
      </c>
      <c r="E48" s="19">
        <v>24110</v>
      </c>
      <c r="F48" s="19">
        <v>54812</v>
      </c>
      <c r="G48" s="19">
        <v>15200</v>
      </c>
      <c r="H48" s="19">
        <v>25600</v>
      </c>
      <c r="I48" s="19">
        <f t="shared" si="1"/>
        <v>119722</v>
      </c>
    </row>
    <row r="49" spans="1:9" ht="14.4" x14ac:dyDescent="0.3">
      <c r="E49" s="19"/>
      <c r="F49" s="19"/>
      <c r="G49" s="19"/>
      <c r="H49" s="19"/>
      <c r="I49" s="19"/>
    </row>
    <row r="50" spans="1:9" ht="14.4" x14ac:dyDescent="0.3">
      <c r="A50" s="13" t="s">
        <v>109</v>
      </c>
      <c r="B50" s="13" t="s">
        <v>110</v>
      </c>
      <c r="D50" s="18" t="s">
        <v>75</v>
      </c>
      <c r="E50" s="19">
        <v>25600</v>
      </c>
      <c r="F50" s="19">
        <v>48752</v>
      </c>
      <c r="G50" s="19">
        <v>30300</v>
      </c>
      <c r="H50" s="19">
        <v>22600</v>
      </c>
      <c r="I50" s="19">
        <f t="shared" si="1"/>
        <v>127252</v>
      </c>
    </row>
    <row r="51" spans="1:9" ht="14.4" x14ac:dyDescent="0.3">
      <c r="E51" s="19"/>
      <c r="F51" s="19"/>
      <c r="G51" s="19"/>
      <c r="H51" s="19"/>
      <c r="I51" s="19"/>
    </row>
    <row r="52" spans="1:9" ht="14.4" x14ac:dyDescent="0.3">
      <c r="A52" s="13" t="s">
        <v>111</v>
      </c>
      <c r="B52" s="13" t="s">
        <v>112</v>
      </c>
      <c r="C52" s="13" t="s">
        <v>53</v>
      </c>
      <c r="D52" s="18" t="s">
        <v>58</v>
      </c>
      <c r="E52" s="19">
        <v>22600</v>
      </c>
      <c r="F52" s="19">
        <v>58445</v>
      </c>
      <c r="G52" s="19">
        <v>16800</v>
      </c>
      <c r="H52" s="19">
        <v>22700</v>
      </c>
      <c r="I52" s="19">
        <f t="shared" si="1"/>
        <v>120545</v>
      </c>
    </row>
    <row r="53" spans="1:9" ht="14.4" x14ac:dyDescent="0.3">
      <c r="E53" s="19"/>
      <c r="F53" s="19"/>
      <c r="G53" s="19"/>
      <c r="H53" s="19"/>
      <c r="I53" s="19"/>
    </row>
    <row r="54" spans="1:9" ht="14.4" x14ac:dyDescent="0.3">
      <c r="A54" s="13" t="s">
        <v>113</v>
      </c>
      <c r="B54" s="13" t="s">
        <v>114</v>
      </c>
      <c r="C54" s="13" t="s">
        <v>61</v>
      </c>
      <c r="D54" s="18" t="s">
        <v>65</v>
      </c>
      <c r="E54" s="19">
        <v>22700</v>
      </c>
      <c r="F54" s="19">
        <v>48648</v>
      </c>
      <c r="G54" s="19">
        <v>36855</v>
      </c>
      <c r="H54" s="19">
        <v>35000</v>
      </c>
      <c r="I54" s="19">
        <f t="shared" si="1"/>
        <v>143203</v>
      </c>
    </row>
    <row r="55" spans="1:9" ht="14.4" x14ac:dyDescent="0.3">
      <c r="E55" s="19"/>
      <c r="F55" s="19"/>
      <c r="G55" s="19"/>
      <c r="H55" s="19"/>
      <c r="I55" s="19"/>
    </row>
    <row r="56" spans="1:9" ht="14.4" x14ac:dyDescent="0.3">
      <c r="A56" s="13" t="s">
        <v>115</v>
      </c>
      <c r="B56" s="13" t="s">
        <v>116</v>
      </c>
      <c r="D56" s="18" t="s">
        <v>75</v>
      </c>
      <c r="E56" s="19">
        <v>23300</v>
      </c>
      <c r="F56" s="19">
        <v>24600</v>
      </c>
      <c r="G56" s="19">
        <v>21380</v>
      </c>
      <c r="H56" s="19">
        <v>15937</v>
      </c>
      <c r="I56" s="19">
        <f t="shared" si="1"/>
        <v>85217</v>
      </c>
    </row>
    <row r="57" spans="1:9" ht="14.4" x14ac:dyDescent="0.3">
      <c r="E57" s="19"/>
      <c r="F57" s="19"/>
      <c r="G57" s="19"/>
      <c r="H57" s="19"/>
      <c r="I57" s="19"/>
    </row>
    <row r="58" spans="1:9" ht="14.4" x14ac:dyDescent="0.3">
      <c r="A58" s="13" t="s">
        <v>117</v>
      </c>
      <c r="B58" s="13" t="s">
        <v>118</v>
      </c>
      <c r="C58" s="13" t="s">
        <v>78</v>
      </c>
      <c r="D58" s="18" t="s">
        <v>62</v>
      </c>
      <c r="E58" s="19">
        <v>23800</v>
      </c>
      <c r="F58" s="19">
        <v>27700</v>
      </c>
      <c r="G58" s="19">
        <v>12600</v>
      </c>
      <c r="H58" s="19">
        <v>35000</v>
      </c>
      <c r="I58" s="19">
        <f t="shared" si="1"/>
        <v>99100</v>
      </c>
    </row>
    <row r="59" spans="1:9" ht="14.4" x14ac:dyDescent="0.3">
      <c r="E59" s="19"/>
      <c r="F59" s="19"/>
      <c r="G59" s="19"/>
      <c r="H59" s="19"/>
      <c r="I59" s="19"/>
    </row>
    <row r="60" spans="1:9" ht="14.4" x14ac:dyDescent="0.3">
      <c r="A60" s="13" t="s">
        <v>119</v>
      </c>
      <c r="B60" s="13" t="s">
        <v>120</v>
      </c>
      <c r="D60" s="18" t="s">
        <v>65</v>
      </c>
      <c r="E60" s="19">
        <v>54826</v>
      </c>
      <c r="F60" s="19">
        <v>75894</v>
      </c>
      <c r="G60" s="19">
        <v>24100</v>
      </c>
      <c r="H60" s="19">
        <v>28000</v>
      </c>
      <c r="I60" s="19">
        <f t="shared" si="1"/>
        <v>182820</v>
      </c>
    </row>
    <row r="61" spans="1:9" ht="14.4" x14ac:dyDescent="0.3">
      <c r="E61" s="19"/>
      <c r="F61" s="19"/>
      <c r="G61" s="19"/>
      <c r="H61" s="19"/>
      <c r="I61" s="19"/>
    </row>
    <row r="62" spans="1:9" ht="14.4" x14ac:dyDescent="0.3">
      <c r="A62" s="13" t="s">
        <v>121</v>
      </c>
      <c r="B62" s="13" t="s">
        <v>122</v>
      </c>
      <c r="C62" s="13" t="s">
        <v>61</v>
      </c>
      <c r="D62" s="18" t="s">
        <v>62</v>
      </c>
      <c r="E62" s="19">
        <v>31200</v>
      </c>
      <c r="F62" s="19">
        <v>23100</v>
      </c>
      <c r="G62" s="19">
        <v>17700</v>
      </c>
      <c r="H62" s="19">
        <v>29300</v>
      </c>
      <c r="I62" s="19">
        <f t="shared" si="1"/>
        <v>101300</v>
      </c>
    </row>
    <row r="63" spans="1:9" ht="14.4" x14ac:dyDescent="0.3">
      <c r="E63" s="19"/>
      <c r="F63" s="19"/>
      <c r="G63" s="19"/>
      <c r="H63" s="19"/>
      <c r="I63" s="19"/>
    </row>
    <row r="64" spans="1:9" ht="14.4" x14ac:dyDescent="0.3">
      <c r="A64" s="13" t="s">
        <v>123</v>
      </c>
      <c r="B64" s="13" t="s">
        <v>124</v>
      </c>
      <c r="D64" s="18" t="s">
        <v>75</v>
      </c>
      <c r="E64" s="19">
        <v>5623</v>
      </c>
      <c r="F64" s="19">
        <v>17300</v>
      </c>
      <c r="G64" s="19">
        <v>15200</v>
      </c>
      <c r="H64" s="19">
        <v>14600</v>
      </c>
      <c r="I64" s="19">
        <f t="shared" si="1"/>
        <v>52723</v>
      </c>
    </row>
    <row r="65" spans="1:9" ht="14.4" x14ac:dyDescent="0.3">
      <c r="E65" s="19"/>
      <c r="F65" s="19"/>
      <c r="G65" s="19"/>
      <c r="H65" s="19"/>
      <c r="I65" s="19"/>
    </row>
    <row r="66" spans="1:9" ht="14.4" x14ac:dyDescent="0.3">
      <c r="A66" s="13" t="s">
        <v>125</v>
      </c>
      <c r="B66" s="13" t="s">
        <v>126</v>
      </c>
      <c r="C66" s="13" t="s">
        <v>53</v>
      </c>
      <c r="D66" s="18" t="s">
        <v>58</v>
      </c>
      <c r="E66" s="19">
        <v>15500</v>
      </c>
      <c r="F66" s="19">
        <v>19000</v>
      </c>
      <c r="G66" s="19">
        <v>30300</v>
      </c>
      <c r="H66" s="19">
        <v>22600</v>
      </c>
      <c r="I66" s="19">
        <f t="shared" si="1"/>
        <v>87400</v>
      </c>
    </row>
    <row r="67" spans="1:9" ht="14.4" x14ac:dyDescent="0.3">
      <c r="E67" s="19"/>
      <c r="F67" s="19"/>
      <c r="G67" s="19"/>
      <c r="H67" s="19"/>
      <c r="I67" s="19"/>
    </row>
    <row r="68" spans="1:9" ht="14.4" x14ac:dyDescent="0.3">
      <c r="A68" s="13" t="s">
        <v>127</v>
      </c>
      <c r="B68" s="13" t="s">
        <v>128</v>
      </c>
      <c r="C68" s="13" t="s">
        <v>61</v>
      </c>
      <c r="D68" s="18" t="s">
        <v>75</v>
      </c>
      <c r="E68" s="19">
        <v>30900</v>
      </c>
      <c r="F68" s="19">
        <v>24400</v>
      </c>
      <c r="G68" s="19">
        <v>16800</v>
      </c>
      <c r="H68" s="19">
        <v>24513</v>
      </c>
      <c r="I68" s="19">
        <f t="shared" si="1"/>
        <v>96613</v>
      </c>
    </row>
    <row r="69" spans="1:9" ht="14.4" x14ac:dyDescent="0.3">
      <c r="E69" s="19"/>
      <c r="F69" s="19"/>
      <c r="G69" s="19"/>
      <c r="H69" s="19"/>
      <c r="I69" s="19"/>
    </row>
    <row r="70" spans="1:9" ht="14.4" x14ac:dyDescent="0.3">
      <c r="A70" s="13" t="s">
        <v>129</v>
      </c>
      <c r="B70" s="13" t="s">
        <v>130</v>
      </c>
      <c r="C70" s="13" t="s">
        <v>83</v>
      </c>
      <c r="D70" s="18" t="s">
        <v>65</v>
      </c>
      <c r="E70" s="19">
        <v>25600</v>
      </c>
      <c r="F70" s="19">
        <v>48752</v>
      </c>
      <c r="G70" s="19">
        <v>30300</v>
      </c>
      <c r="H70" s="19">
        <v>22600</v>
      </c>
      <c r="I70" s="19">
        <f t="shared" si="1"/>
        <v>127252</v>
      </c>
    </row>
    <row r="71" spans="1:9" ht="14.4" x14ac:dyDescent="0.3">
      <c r="E71" s="19"/>
      <c r="F71" s="19"/>
      <c r="G71" s="19"/>
      <c r="H71" s="19"/>
      <c r="I71" s="19"/>
    </row>
    <row r="72" spans="1:9" ht="14.4" x14ac:dyDescent="0.3">
      <c r="A72" s="13" t="s">
        <v>131</v>
      </c>
      <c r="B72" s="13" t="s">
        <v>132</v>
      </c>
      <c r="C72" s="13" t="s">
        <v>78</v>
      </c>
      <c r="D72" s="18" t="s">
        <v>54</v>
      </c>
      <c r="E72" s="19">
        <v>22600</v>
      </c>
      <c r="F72" s="19">
        <v>58445</v>
      </c>
      <c r="G72" s="19">
        <v>16800</v>
      </c>
      <c r="H72" s="19">
        <v>22700</v>
      </c>
      <c r="I72" s="19">
        <f t="shared" si="1"/>
        <v>120545</v>
      </c>
    </row>
    <row r="73" spans="1:9" ht="14.4" x14ac:dyDescent="0.3">
      <c r="E73" s="19"/>
      <c r="F73" s="19"/>
      <c r="G73" s="19"/>
      <c r="H73" s="19"/>
      <c r="I73" s="19"/>
    </row>
    <row r="74" spans="1:9" ht="14.4" x14ac:dyDescent="0.3">
      <c r="A74" s="13" t="s">
        <v>133</v>
      </c>
      <c r="B74" s="13" t="s">
        <v>134</v>
      </c>
      <c r="C74" s="13" t="s">
        <v>94</v>
      </c>
      <c r="D74" s="18" t="s">
        <v>62</v>
      </c>
      <c r="E74" s="19">
        <v>22700</v>
      </c>
      <c r="F74" s="19">
        <v>48648</v>
      </c>
      <c r="G74" s="19">
        <v>36855</v>
      </c>
      <c r="H74" s="19">
        <v>35000</v>
      </c>
      <c r="I74" s="19">
        <f t="shared" si="1"/>
        <v>143203</v>
      </c>
    </row>
    <row r="75" spans="1:9" ht="14.4" x14ac:dyDescent="0.3">
      <c r="E75" s="19"/>
      <c r="F75" s="19"/>
      <c r="G75" s="19"/>
      <c r="H75" s="19"/>
      <c r="I75" s="19"/>
    </row>
    <row r="76" spans="1:9" ht="14.4" x14ac:dyDescent="0.3">
      <c r="A76" s="13" t="s">
        <v>135</v>
      </c>
      <c r="B76" s="13" t="s">
        <v>136</v>
      </c>
      <c r="C76" s="13" t="s">
        <v>61</v>
      </c>
      <c r="D76" s="18" t="s">
        <v>75</v>
      </c>
      <c r="E76" s="19">
        <v>23300</v>
      </c>
      <c r="F76" s="19">
        <v>24600</v>
      </c>
      <c r="G76" s="19">
        <v>21380</v>
      </c>
      <c r="H76" s="19">
        <v>15937</v>
      </c>
      <c r="I76" s="19">
        <f t="shared" si="1"/>
        <v>85217</v>
      </c>
    </row>
    <row r="77" spans="1:9" ht="14.4" x14ac:dyDescent="0.3">
      <c r="E77" s="19"/>
      <c r="F77" s="19"/>
      <c r="G77" s="19"/>
      <c r="H77" s="19"/>
      <c r="I77" s="19"/>
    </row>
    <row r="78" spans="1:9" ht="14.4" x14ac:dyDescent="0.3">
      <c r="A78" s="13" t="s">
        <v>137</v>
      </c>
      <c r="B78" s="13" t="s">
        <v>138</v>
      </c>
      <c r="D78" s="18" t="s">
        <v>54</v>
      </c>
      <c r="E78" s="19">
        <v>23800</v>
      </c>
      <c r="F78" s="19">
        <v>27700</v>
      </c>
      <c r="G78" s="19">
        <v>12600</v>
      </c>
      <c r="H78" s="19">
        <v>35000</v>
      </c>
      <c r="I78" s="19">
        <f t="shared" si="1"/>
        <v>99100</v>
      </c>
    </row>
    <row r="79" spans="1:9" ht="14.4" x14ac:dyDescent="0.3">
      <c r="E79" s="19"/>
      <c r="F79" s="19"/>
      <c r="G79" s="19"/>
      <c r="H79" s="19"/>
      <c r="I79" s="19"/>
    </row>
    <row r="80" spans="1:9" ht="14.4" x14ac:dyDescent="0.3">
      <c r="A80" s="13" t="s">
        <v>139</v>
      </c>
      <c r="B80" s="13" t="s">
        <v>140</v>
      </c>
      <c r="C80" s="13" t="s">
        <v>61</v>
      </c>
      <c r="D80" s="18" t="s">
        <v>58</v>
      </c>
      <c r="E80" s="19">
        <v>54826</v>
      </c>
      <c r="F80" s="19">
        <v>88743</v>
      </c>
      <c r="G80" s="19">
        <v>24100</v>
      </c>
      <c r="H80" s="19">
        <v>28000</v>
      </c>
      <c r="I80" s="19">
        <f t="shared" si="1"/>
        <v>195669</v>
      </c>
    </row>
    <row r="81" spans="1:9" ht="14.4" x14ac:dyDescent="0.3">
      <c r="E81" s="19"/>
      <c r="F81" s="19"/>
      <c r="G81" s="19"/>
      <c r="H81" s="19"/>
      <c r="I81" s="19"/>
    </row>
    <row r="82" spans="1:9" ht="14.4" x14ac:dyDescent="0.3">
      <c r="A82" s="13" t="s">
        <v>141</v>
      </c>
      <c r="B82" s="13" t="s">
        <v>142</v>
      </c>
      <c r="C82" s="13" t="s">
        <v>83</v>
      </c>
      <c r="D82" s="18" t="s">
        <v>65</v>
      </c>
      <c r="E82" s="19">
        <v>31200</v>
      </c>
      <c r="F82" s="19">
        <v>12447</v>
      </c>
      <c r="G82" s="19">
        <v>17700</v>
      </c>
      <c r="H82" s="19">
        <v>29300</v>
      </c>
      <c r="I82" s="19">
        <f t="shared" si="1"/>
        <v>90647</v>
      </c>
    </row>
    <row r="83" spans="1:9" ht="14.4" x14ac:dyDescent="0.3">
      <c r="E83" s="19"/>
      <c r="F83" s="19"/>
      <c r="G83" s="19"/>
      <c r="H83" s="19"/>
      <c r="I83" s="19"/>
    </row>
    <row r="84" spans="1:9" ht="14.4" x14ac:dyDescent="0.3">
      <c r="A84" s="13" t="s">
        <v>143</v>
      </c>
      <c r="B84" s="13" t="s">
        <v>144</v>
      </c>
      <c r="C84" s="13" t="s">
        <v>78</v>
      </c>
      <c r="D84" s="18" t="s">
        <v>75</v>
      </c>
      <c r="E84" s="19">
        <v>87335</v>
      </c>
      <c r="F84" s="19">
        <v>17300</v>
      </c>
      <c r="G84" s="19">
        <v>15200</v>
      </c>
      <c r="H84" s="19">
        <v>14600</v>
      </c>
      <c r="I84" s="19">
        <f t="shared" si="1"/>
        <v>134435</v>
      </c>
    </row>
    <row r="85" spans="1:9" ht="14.4" x14ac:dyDescent="0.3">
      <c r="E85" s="19"/>
      <c r="F85" s="19"/>
      <c r="G85" s="19"/>
      <c r="H85" s="19"/>
      <c r="I85" s="19"/>
    </row>
    <row r="86" spans="1:9" ht="14.4" x14ac:dyDescent="0.3">
      <c r="A86" s="13" t="s">
        <v>92</v>
      </c>
      <c r="B86" s="13" t="s">
        <v>145</v>
      </c>
      <c r="D86" s="18" t="s">
        <v>58</v>
      </c>
      <c r="E86" s="19">
        <v>15500</v>
      </c>
      <c r="F86" s="19">
        <v>19000</v>
      </c>
      <c r="G86" s="19">
        <v>30300</v>
      </c>
      <c r="H86" s="19">
        <v>22600</v>
      </c>
      <c r="I86" s="19">
        <f t="shared" si="1"/>
        <v>87400</v>
      </c>
    </row>
    <row r="87" spans="1:9" ht="14.4" x14ac:dyDescent="0.3">
      <c r="E87" s="19"/>
      <c r="F87" s="19"/>
      <c r="G87" s="19"/>
      <c r="H87" s="19"/>
      <c r="I87" s="19"/>
    </row>
    <row r="88" spans="1:9" ht="14.4" x14ac:dyDescent="0.3">
      <c r="A88" s="13" t="s">
        <v>146</v>
      </c>
      <c r="B88" s="13" t="s">
        <v>147</v>
      </c>
      <c r="D88" s="18" t="s">
        <v>62</v>
      </c>
      <c r="E88" s="19">
        <v>30900</v>
      </c>
      <c r="F88" s="19">
        <v>24400</v>
      </c>
      <c r="G88" s="19">
        <v>16800</v>
      </c>
      <c r="H88" s="19">
        <v>24513</v>
      </c>
      <c r="I88" s="19">
        <f t="shared" si="1"/>
        <v>96613</v>
      </c>
    </row>
    <row r="89" spans="1:9" ht="14.4" x14ac:dyDescent="0.3">
      <c r="E89" s="19"/>
      <c r="F89" s="19"/>
      <c r="G89" s="19"/>
      <c r="H89" s="19"/>
      <c r="I89" s="19"/>
    </row>
    <row r="90" spans="1:9" ht="14.4" x14ac:dyDescent="0.3">
      <c r="A90" s="13" t="s">
        <v>148</v>
      </c>
      <c r="B90" s="13" t="s">
        <v>149</v>
      </c>
      <c r="D90" s="18" t="s">
        <v>65</v>
      </c>
      <c r="E90" s="19">
        <v>14815</v>
      </c>
      <c r="F90" s="19">
        <v>13100</v>
      </c>
      <c r="G90" s="19">
        <v>11580</v>
      </c>
      <c r="H90" s="19">
        <v>17300</v>
      </c>
      <c r="I90" s="19">
        <f t="shared" ref="I90:I106" si="2">SUM(E90:H90)</f>
        <v>56795</v>
      </c>
    </row>
    <row r="91" spans="1:9" ht="14.4" x14ac:dyDescent="0.3">
      <c r="E91" s="19"/>
      <c r="F91" s="19"/>
      <c r="G91" s="19"/>
      <c r="H91" s="19"/>
      <c r="I91" s="19"/>
    </row>
    <row r="92" spans="1:9" ht="14.4" x14ac:dyDescent="0.3">
      <c r="A92" s="13" t="s">
        <v>150</v>
      </c>
      <c r="B92" s="13" t="s">
        <v>151</v>
      </c>
      <c r="C92" s="13" t="s">
        <v>53</v>
      </c>
      <c r="D92" s="18" t="s">
        <v>75</v>
      </c>
      <c r="E92" s="19">
        <v>24500</v>
      </c>
      <c r="F92" s="19">
        <v>25600</v>
      </c>
      <c r="G92" s="19">
        <v>22000</v>
      </c>
      <c r="H92" s="19">
        <v>19000</v>
      </c>
      <c r="I92" s="19">
        <f t="shared" si="2"/>
        <v>91100</v>
      </c>
    </row>
    <row r="93" spans="1:9" ht="14.4" x14ac:dyDescent="0.3">
      <c r="E93" s="19"/>
      <c r="F93" s="19"/>
      <c r="G93" s="19"/>
      <c r="H93" s="19"/>
      <c r="I93" s="19"/>
    </row>
    <row r="94" spans="1:9" ht="14.4" x14ac:dyDescent="0.3">
      <c r="A94" s="13" t="s">
        <v>152</v>
      </c>
      <c r="B94" s="13" t="s">
        <v>153</v>
      </c>
      <c r="D94" s="18" t="s">
        <v>54</v>
      </c>
      <c r="E94" s="19">
        <v>20900</v>
      </c>
      <c r="F94" s="19">
        <v>22600</v>
      </c>
      <c r="G94" s="19">
        <v>20140</v>
      </c>
      <c r="H94" s="19">
        <v>24400</v>
      </c>
      <c r="I94" s="19">
        <f t="shared" si="2"/>
        <v>88040</v>
      </c>
    </row>
    <row r="95" spans="1:9" ht="14.4" x14ac:dyDescent="0.3">
      <c r="E95" s="19"/>
      <c r="F95" s="19"/>
      <c r="G95" s="19"/>
      <c r="H95" s="19"/>
      <c r="I95" s="19"/>
    </row>
    <row r="96" spans="1:9" ht="14.4" x14ac:dyDescent="0.3">
      <c r="A96" s="13" t="s">
        <v>154</v>
      </c>
      <c r="B96" s="13" t="s">
        <v>155</v>
      </c>
      <c r="C96" s="13" t="s">
        <v>83</v>
      </c>
      <c r="D96" s="18" t="s">
        <v>58</v>
      </c>
      <c r="E96" s="19">
        <v>15900</v>
      </c>
      <c r="F96" s="19">
        <v>22700</v>
      </c>
      <c r="G96" s="19">
        <v>17600</v>
      </c>
      <c r="H96" s="19">
        <v>20000</v>
      </c>
      <c r="I96" s="19">
        <f t="shared" si="2"/>
        <v>76200</v>
      </c>
    </row>
    <row r="97" spans="1:9" ht="14.4" x14ac:dyDescent="0.3">
      <c r="E97" s="19"/>
      <c r="F97" s="19"/>
      <c r="G97" s="19"/>
      <c r="H97" s="19"/>
      <c r="I97" s="19"/>
    </row>
    <row r="98" spans="1:9" ht="14.4" x14ac:dyDescent="0.3">
      <c r="A98" s="13" t="s">
        <v>156</v>
      </c>
      <c r="B98" s="13" t="s">
        <v>157</v>
      </c>
      <c r="C98" s="13" t="s">
        <v>78</v>
      </c>
      <c r="D98" s="18" t="s">
        <v>62</v>
      </c>
      <c r="E98" s="19">
        <v>25000</v>
      </c>
      <c r="F98" s="19">
        <v>34000</v>
      </c>
      <c r="G98" s="19">
        <v>21000</v>
      </c>
      <c r="H98" s="19">
        <v>35000</v>
      </c>
      <c r="I98" s="19">
        <f t="shared" si="2"/>
        <v>115000</v>
      </c>
    </row>
    <row r="99" spans="1:9" ht="14.4" x14ac:dyDescent="0.3">
      <c r="E99" s="19"/>
      <c r="F99" s="19"/>
      <c r="G99" s="19"/>
      <c r="H99" s="19"/>
      <c r="I99" s="19"/>
    </row>
    <row r="100" spans="1:9" ht="14.4" x14ac:dyDescent="0.3">
      <c r="A100" s="13" t="s">
        <v>158</v>
      </c>
      <c r="B100" s="13" t="s">
        <v>159</v>
      </c>
      <c r="C100" s="13" t="s">
        <v>94</v>
      </c>
      <c r="D100" s="18" t="s">
        <v>75</v>
      </c>
      <c r="E100" s="19">
        <v>24110</v>
      </c>
      <c r="F100" s="19">
        <v>54812</v>
      </c>
      <c r="G100" s="19">
        <v>15200</v>
      </c>
      <c r="H100" s="19">
        <v>25600</v>
      </c>
      <c r="I100" s="19">
        <f t="shared" si="2"/>
        <v>119722</v>
      </c>
    </row>
    <row r="101" spans="1:9" ht="14.4" x14ac:dyDescent="0.3">
      <c r="E101" s="19"/>
      <c r="F101" s="19"/>
      <c r="G101" s="19"/>
      <c r="H101" s="19"/>
      <c r="I101" s="19"/>
    </row>
    <row r="102" spans="1:9" ht="14.4" x14ac:dyDescent="0.3">
      <c r="A102" s="13" t="s">
        <v>160</v>
      </c>
      <c r="B102" s="13" t="s">
        <v>161</v>
      </c>
      <c r="C102" s="13" t="s">
        <v>61</v>
      </c>
      <c r="D102" s="18" t="s">
        <v>54</v>
      </c>
      <c r="E102" s="19">
        <v>25600</v>
      </c>
      <c r="F102" s="19">
        <v>48752</v>
      </c>
      <c r="G102" s="19">
        <v>30300</v>
      </c>
      <c r="H102" s="19">
        <v>22600</v>
      </c>
      <c r="I102" s="19">
        <f t="shared" si="2"/>
        <v>127252</v>
      </c>
    </row>
    <row r="103" spans="1:9" ht="14.4" x14ac:dyDescent="0.3">
      <c r="E103" s="19"/>
      <c r="F103" s="19"/>
      <c r="G103" s="19"/>
      <c r="H103" s="19"/>
      <c r="I103" s="19"/>
    </row>
    <row r="104" spans="1:9" ht="14.4" x14ac:dyDescent="0.3">
      <c r="A104" s="13" t="s">
        <v>63</v>
      </c>
      <c r="B104" s="13" t="s">
        <v>162</v>
      </c>
      <c r="C104" s="13" t="s">
        <v>83</v>
      </c>
      <c r="D104" s="18" t="s">
        <v>65</v>
      </c>
      <c r="E104" s="19">
        <v>22600</v>
      </c>
      <c r="F104" s="19">
        <v>58445</v>
      </c>
      <c r="G104" s="19">
        <v>16800</v>
      </c>
      <c r="H104" s="19">
        <v>22700</v>
      </c>
      <c r="I104" s="19">
        <f t="shared" si="2"/>
        <v>120545</v>
      </c>
    </row>
    <row r="105" spans="1:9" ht="14.4" x14ac:dyDescent="0.3">
      <c r="E105" s="19"/>
      <c r="F105" s="19"/>
      <c r="G105" s="19"/>
      <c r="H105" s="19"/>
      <c r="I105" s="19"/>
    </row>
    <row r="106" spans="1:9" ht="14.4" x14ac:dyDescent="0.3">
      <c r="A106" s="13" t="s">
        <v>163</v>
      </c>
      <c r="B106" s="13" t="s">
        <v>164</v>
      </c>
      <c r="C106" s="13" t="s">
        <v>78</v>
      </c>
      <c r="D106" s="18" t="s">
        <v>58</v>
      </c>
      <c r="E106" s="19">
        <v>22700</v>
      </c>
      <c r="F106" s="19">
        <v>48648</v>
      </c>
      <c r="G106" s="19">
        <v>36855</v>
      </c>
      <c r="H106" s="19">
        <v>35000</v>
      </c>
      <c r="I106" s="19">
        <f t="shared" si="2"/>
        <v>143203</v>
      </c>
    </row>
    <row r="107" spans="1:9" ht="14.4" x14ac:dyDescent="0.3">
      <c r="E107" s="19"/>
      <c r="F107" s="19"/>
      <c r="G107" s="19"/>
      <c r="H107" s="19"/>
      <c r="I107" s="19"/>
    </row>
    <row r="108" spans="1:9" ht="14.4" x14ac:dyDescent="0.3">
      <c r="E108" s="19"/>
      <c r="F108" s="19"/>
      <c r="G108" s="19"/>
      <c r="H108" s="19"/>
      <c r="I108" s="19"/>
    </row>
    <row r="109" spans="1:9" ht="14.4" x14ac:dyDescent="0.3">
      <c r="E109" s="19"/>
      <c r="F109" s="19"/>
      <c r="G109" s="19"/>
      <c r="H109" s="19"/>
      <c r="I109" s="19"/>
    </row>
    <row r="110" spans="1:9" ht="14.4" x14ac:dyDescent="0.3">
      <c r="E110" s="19"/>
      <c r="F110" s="19"/>
      <c r="G110" s="19"/>
      <c r="H110" s="19"/>
      <c r="I110" s="19"/>
    </row>
    <row r="111" spans="1:9" ht="14.4" x14ac:dyDescent="0.3">
      <c r="E111" s="19"/>
      <c r="F111" s="19"/>
      <c r="G111" s="19"/>
      <c r="H111" s="19"/>
      <c r="I111" s="19"/>
    </row>
    <row r="112" spans="1:9" ht="14.4" x14ac:dyDescent="0.3">
      <c r="E112" s="19"/>
      <c r="F112" s="19"/>
      <c r="G112" s="19"/>
      <c r="H112" s="19"/>
      <c r="I112" s="19"/>
    </row>
    <row r="113" spans="5:9" ht="14.4" x14ac:dyDescent="0.3">
      <c r="E113" s="19"/>
      <c r="F113" s="19"/>
      <c r="G113" s="19"/>
      <c r="H113" s="19"/>
      <c r="I113" s="19"/>
    </row>
    <row r="114" spans="5:9" ht="14.4" x14ac:dyDescent="0.3">
      <c r="E114" s="19"/>
      <c r="F114" s="19"/>
      <c r="G114" s="19"/>
      <c r="H114" s="19"/>
      <c r="I114" s="19"/>
    </row>
    <row r="115" spans="5:9" ht="14.4" x14ac:dyDescent="0.3">
      <c r="E115" s="19"/>
      <c r="F115" s="19"/>
      <c r="G115" s="19"/>
      <c r="H115" s="19"/>
      <c r="I115" s="19"/>
    </row>
    <row r="116" spans="5:9" ht="14.4" x14ac:dyDescent="0.3">
      <c r="E116" s="19"/>
      <c r="F116" s="19"/>
      <c r="G116" s="19"/>
      <c r="H116" s="19"/>
      <c r="I116" s="19"/>
    </row>
    <row r="117" spans="5:9" ht="14.4" x14ac:dyDescent="0.3">
      <c r="E117" s="19"/>
      <c r="F117" s="19"/>
      <c r="G117" s="19"/>
      <c r="H117" s="19"/>
      <c r="I117" s="19"/>
    </row>
    <row r="118" spans="5:9" ht="14.4" x14ac:dyDescent="0.3">
      <c r="E118" s="19"/>
      <c r="F118" s="19"/>
      <c r="G118" s="19"/>
      <c r="H118" s="19"/>
      <c r="I118" s="19"/>
    </row>
    <row r="119" spans="5:9" ht="14.4" x14ac:dyDescent="0.3">
      <c r="E119" s="19"/>
      <c r="F119" s="19"/>
      <c r="G119" s="19"/>
      <c r="H119" s="19"/>
      <c r="I119" s="19"/>
    </row>
    <row r="120" spans="5:9" ht="14.4" x14ac:dyDescent="0.3">
      <c r="E120" s="19"/>
      <c r="F120" s="19"/>
      <c r="G120" s="19"/>
      <c r="H120" s="19"/>
      <c r="I120" s="19"/>
    </row>
    <row r="121" spans="5:9" ht="14.4" x14ac:dyDescent="0.3">
      <c r="E121" s="19"/>
      <c r="F121" s="19"/>
      <c r="G121" s="19"/>
      <c r="H121" s="19"/>
      <c r="I121" s="19"/>
    </row>
    <row r="123" spans="5:9" x14ac:dyDescent="0.25">
      <c r="I123" s="24"/>
    </row>
  </sheetData>
  <mergeCells count="2">
    <mergeCell ref="A1:H1"/>
    <mergeCell ref="A2:H2"/>
  </mergeCells>
  <dataValidations count="2">
    <dataValidation type="list" allowBlank="1" showInputMessage="1" showErrorMessage="1" sqref="L7 L14" xr:uid="{65005B2F-7E80-45F8-9347-57BC5DC8E8BA}">
      <formula1>Region</formula1>
    </dataValidation>
    <dataValidation type="list" allowBlank="1" showInputMessage="1" showErrorMessage="1" sqref="M7 M14" xr:uid="{58D0385F-148B-4003-BE9C-57672769AA5C}">
      <formula1>Manager</formula1>
    </dataValidation>
  </dataValidations>
  <pageMargins left="0.75" right="0.75" top="1" bottom="1" header="0.5" footer="0.5"/>
  <pageSetup orientation="portrait" r:id="rId1"/>
  <headerFooter alignWithMargins="0"/>
  <rowBreaks count="1" manualBreakCount="1">
    <brk id="3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C2EF-9D18-449A-B7C6-409FF9F184D1}">
  <sheetPr codeName="Sheet6"/>
  <dimension ref="B1:K14"/>
  <sheetViews>
    <sheetView zoomScale="145" zoomScaleNormal="145" workbookViewId="0">
      <selection activeCell="I5" sqref="I5"/>
    </sheetView>
  </sheetViews>
  <sheetFormatPr defaultColWidth="9.109375" defaultRowHeight="11.4" x14ac:dyDescent="0.2"/>
  <cols>
    <col min="1" max="1" width="2" style="43" customWidth="1"/>
    <col min="2" max="2" width="15.88671875" style="43" bestFit="1" customWidth="1"/>
    <col min="3" max="3" width="8.109375" style="43" bestFit="1" customWidth="1"/>
    <col min="4" max="4" width="16.109375" style="43" bestFit="1" customWidth="1"/>
    <col min="5" max="5" width="12.44140625" style="43" bestFit="1" customWidth="1"/>
    <col min="6" max="6" width="12.33203125" style="43" bestFit="1" customWidth="1"/>
    <col min="7" max="7" width="9.109375" style="43"/>
    <col min="8" max="8" width="12" style="43" customWidth="1"/>
    <col min="9" max="9" width="16.88671875" style="43" bestFit="1" customWidth="1"/>
    <col min="10" max="10" width="23" style="43" bestFit="1" customWidth="1"/>
    <col min="11" max="11" width="16.88671875" style="43" bestFit="1" customWidth="1"/>
    <col min="12" max="16384" width="9.109375" style="43"/>
  </cols>
  <sheetData>
    <row r="1" spans="2:11" ht="15.6" x14ac:dyDescent="0.3">
      <c r="B1" s="42" t="s">
        <v>246</v>
      </c>
    </row>
    <row r="3" spans="2:11" ht="12.6" thickBot="1" x14ac:dyDescent="0.3">
      <c r="B3" s="44" t="s">
        <v>222</v>
      </c>
      <c r="C3" s="44" t="s">
        <v>223</v>
      </c>
      <c r="D3" s="44" t="s">
        <v>224</v>
      </c>
      <c r="E3" s="44" t="s">
        <v>225</v>
      </c>
      <c r="F3" s="44" t="s">
        <v>226</v>
      </c>
    </row>
    <row r="4" spans="2:11" ht="15.6" x14ac:dyDescent="0.3">
      <c r="B4" s="43" t="s">
        <v>227</v>
      </c>
      <c r="C4" s="43" t="s">
        <v>228</v>
      </c>
      <c r="D4" s="43" t="s">
        <v>229</v>
      </c>
      <c r="E4" s="54">
        <v>34</v>
      </c>
      <c r="F4" s="54">
        <v>71</v>
      </c>
      <c r="H4" s="56" t="s">
        <v>243</v>
      </c>
      <c r="I4" s="56" t="s">
        <v>248</v>
      </c>
      <c r="J4" s="83"/>
    </row>
    <row r="5" spans="2:11" x14ac:dyDescent="0.2">
      <c r="B5" s="43" t="s">
        <v>230</v>
      </c>
      <c r="C5" s="43" t="s">
        <v>231</v>
      </c>
      <c r="D5" s="43" t="s">
        <v>229</v>
      </c>
      <c r="E5" s="54">
        <v>38</v>
      </c>
      <c r="F5" s="54">
        <v>57</v>
      </c>
      <c r="H5" s="52" t="s">
        <v>244</v>
      </c>
      <c r="I5" s="52">
        <f>COUNTIF(F4:F12, "&gt;=60")</f>
        <v>6</v>
      </c>
    </row>
    <row r="6" spans="2:11" x14ac:dyDescent="0.2">
      <c r="B6" s="43" t="s">
        <v>232</v>
      </c>
      <c r="C6" s="43" t="s">
        <v>233</v>
      </c>
      <c r="D6" s="43" t="s">
        <v>229</v>
      </c>
      <c r="E6" s="54">
        <v>38</v>
      </c>
      <c r="F6" s="54">
        <v>64</v>
      </c>
      <c r="H6" s="52" t="s">
        <v>245</v>
      </c>
      <c r="I6" s="52">
        <f>COUNTIF(F4:F12, "&lt;=60")</f>
        <v>3</v>
      </c>
    </row>
    <row r="7" spans="2:11" x14ac:dyDescent="0.2">
      <c r="B7" s="43" t="s">
        <v>234</v>
      </c>
      <c r="C7" s="43" t="s">
        <v>228</v>
      </c>
      <c r="D7" s="43" t="s">
        <v>235</v>
      </c>
      <c r="E7" s="54">
        <v>34</v>
      </c>
      <c r="F7" s="54">
        <v>27</v>
      </c>
    </row>
    <row r="8" spans="2:11" x14ac:dyDescent="0.2">
      <c r="B8" s="43" t="s">
        <v>236</v>
      </c>
      <c r="C8" s="43" t="s">
        <v>231</v>
      </c>
      <c r="D8" s="43" t="s">
        <v>235</v>
      </c>
      <c r="E8" s="54">
        <v>38</v>
      </c>
      <c r="F8" s="54">
        <v>56</v>
      </c>
    </row>
    <row r="9" spans="2:11" ht="13.8" x14ac:dyDescent="0.25">
      <c r="B9" s="43" t="s">
        <v>237</v>
      </c>
      <c r="C9" s="43" t="s">
        <v>231</v>
      </c>
      <c r="D9" s="43" t="s">
        <v>235</v>
      </c>
      <c r="E9" s="54">
        <v>38</v>
      </c>
      <c r="F9" s="54">
        <v>65</v>
      </c>
      <c r="H9" s="84" t="s">
        <v>223</v>
      </c>
      <c r="I9" s="84" t="s">
        <v>243</v>
      </c>
      <c r="J9" s="84" t="s">
        <v>308</v>
      </c>
      <c r="K9" s="84" t="s">
        <v>248</v>
      </c>
    </row>
    <row r="10" spans="2:11" x14ac:dyDescent="0.2">
      <c r="B10" s="43" t="s">
        <v>238</v>
      </c>
      <c r="C10" s="43" t="s">
        <v>228</v>
      </c>
      <c r="D10" s="43" t="s">
        <v>229</v>
      </c>
      <c r="E10" s="54">
        <v>34</v>
      </c>
      <c r="F10" s="54">
        <v>90</v>
      </c>
      <c r="H10" s="52" t="s">
        <v>233</v>
      </c>
      <c r="I10" s="52" t="s">
        <v>244</v>
      </c>
      <c r="J10" s="52">
        <f>COUNTIFS(C4:C12, H10, D4:D12, "YES", F4:F12, "&gt;=60")</f>
        <v>2</v>
      </c>
      <c r="K10" s="52">
        <f>SUMIFS(F4:F12, C4:C12,H10, D4:D12, "yes", F4:F12, "&gt;=60")</f>
        <v>143</v>
      </c>
    </row>
    <row r="11" spans="2:11" x14ac:dyDescent="0.2">
      <c r="B11" s="43" t="s">
        <v>239</v>
      </c>
      <c r="C11" s="43" t="s">
        <v>233</v>
      </c>
      <c r="D11" s="43" t="s">
        <v>235</v>
      </c>
      <c r="E11" s="54">
        <v>38</v>
      </c>
      <c r="F11" s="54">
        <v>84</v>
      </c>
      <c r="I11" s="52" t="s">
        <v>245</v>
      </c>
      <c r="J11" s="52">
        <f>COUNTIFS(C4:C12, H10, D4:D12, "YES", F4:F12, "&lt;=60")</f>
        <v>0</v>
      </c>
      <c r="K11" s="52">
        <f>SUMIFS(F4:F12, C4:C12,H10, D4:D12, "yes", F4:F12, "&lt;=60")</f>
        <v>0</v>
      </c>
    </row>
    <row r="12" spans="2:11" x14ac:dyDescent="0.2">
      <c r="B12" s="43" t="s">
        <v>240</v>
      </c>
      <c r="C12" s="43" t="s">
        <v>233</v>
      </c>
      <c r="D12" s="43" t="s">
        <v>229</v>
      </c>
      <c r="E12" s="54">
        <v>38</v>
      </c>
      <c r="F12" s="54">
        <v>79</v>
      </c>
    </row>
    <row r="14" spans="2:11" x14ac:dyDescent="0.2">
      <c r="F14" s="55"/>
    </row>
  </sheetData>
  <dataValidations count="1">
    <dataValidation type="list" allowBlank="1" showInputMessage="1" showErrorMessage="1" sqref="H10" xr:uid="{886B7765-4098-4896-9FBE-1E0706849F9C}">
      <formula1>$C$4:$C$12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1AFE-B791-4C36-85EA-BC7AB75C518C}">
  <sheetPr codeName="Sheet3"/>
  <dimension ref="B1:J20"/>
  <sheetViews>
    <sheetView showGridLines="0" workbookViewId="0">
      <selection activeCell="I6" sqref="I6"/>
    </sheetView>
  </sheetViews>
  <sheetFormatPr defaultColWidth="9.109375" defaultRowHeight="11.4" x14ac:dyDescent="0.2"/>
  <cols>
    <col min="1" max="1" width="2" style="43" customWidth="1"/>
    <col min="2" max="2" width="15.88671875" style="43" bestFit="1" customWidth="1"/>
    <col min="3" max="3" width="8.109375" style="43" bestFit="1" customWidth="1"/>
    <col min="4" max="4" width="16.109375" style="43" bestFit="1" customWidth="1"/>
    <col min="5" max="5" width="12.44140625" style="43" bestFit="1" customWidth="1"/>
    <col min="6" max="6" width="12.33203125" style="43" bestFit="1" customWidth="1"/>
    <col min="7" max="8" width="9.109375" style="43"/>
    <col min="9" max="10" width="21.44140625" style="43" bestFit="1" customWidth="1"/>
    <col min="11" max="16384" width="9.109375" style="43"/>
  </cols>
  <sheetData>
    <row r="1" spans="2:10" ht="15.6" x14ac:dyDescent="0.3">
      <c r="B1" s="42" t="s">
        <v>247</v>
      </c>
    </row>
    <row r="3" spans="2:10" ht="12.6" thickBot="1" x14ac:dyDescent="0.3">
      <c r="B3" s="44" t="s">
        <v>222</v>
      </c>
      <c r="C3" s="44" t="s">
        <v>223</v>
      </c>
      <c r="D3" s="44" t="s">
        <v>224</v>
      </c>
      <c r="E3" s="45" t="s">
        <v>225</v>
      </c>
      <c r="F3" s="45" t="s">
        <v>226</v>
      </c>
    </row>
    <row r="4" spans="2:10" ht="13.8" x14ac:dyDescent="0.25">
      <c r="B4" s="43" t="s">
        <v>227</v>
      </c>
      <c r="C4" s="43" t="s">
        <v>228</v>
      </c>
      <c r="D4" s="43" t="s">
        <v>229</v>
      </c>
      <c r="E4" s="46">
        <v>34</v>
      </c>
      <c r="F4" s="46">
        <v>71</v>
      </c>
      <c r="H4" s="53" t="s">
        <v>223</v>
      </c>
      <c r="I4" s="53" t="s">
        <v>241</v>
      </c>
    </row>
    <row r="5" spans="2:10" x14ac:dyDescent="0.2">
      <c r="B5" s="43" t="s">
        <v>230</v>
      </c>
      <c r="C5" s="43" t="s">
        <v>231</v>
      </c>
      <c r="D5" s="43" t="s">
        <v>229</v>
      </c>
      <c r="E5" s="46">
        <v>38</v>
      </c>
      <c r="F5" s="46">
        <v>57</v>
      </c>
      <c r="H5" s="52" t="s">
        <v>228</v>
      </c>
      <c r="I5" s="52">
        <f>SUMIF(country,H5, E4:E12)</f>
        <v>102</v>
      </c>
    </row>
    <row r="6" spans="2:10" x14ac:dyDescent="0.2">
      <c r="B6" s="43" t="s">
        <v>232</v>
      </c>
      <c r="C6" s="43" t="s">
        <v>233</v>
      </c>
      <c r="D6" s="43" t="s">
        <v>229</v>
      </c>
      <c r="E6" s="46">
        <v>38</v>
      </c>
      <c r="F6" s="46">
        <v>64</v>
      </c>
    </row>
    <row r="7" spans="2:10" x14ac:dyDescent="0.2">
      <c r="B7" s="43" t="s">
        <v>234</v>
      </c>
      <c r="C7" s="43" t="s">
        <v>228</v>
      </c>
      <c r="D7" s="43" t="s">
        <v>235</v>
      </c>
      <c r="E7" s="46">
        <v>34</v>
      </c>
      <c r="F7" s="46">
        <v>27</v>
      </c>
    </row>
    <row r="8" spans="2:10" x14ac:dyDescent="0.2">
      <c r="B8" s="43" t="s">
        <v>236</v>
      </c>
      <c r="C8" s="43" t="s">
        <v>231</v>
      </c>
      <c r="D8" s="43" t="s">
        <v>235</v>
      </c>
      <c r="E8" s="46">
        <v>38</v>
      </c>
      <c r="F8" s="46">
        <v>56</v>
      </c>
    </row>
    <row r="9" spans="2:10" ht="13.8" x14ac:dyDescent="0.25">
      <c r="B9" s="43" t="s">
        <v>237</v>
      </c>
      <c r="C9" s="43" t="s">
        <v>231</v>
      </c>
      <c r="D9" s="43" t="s">
        <v>235</v>
      </c>
      <c r="E9" s="46">
        <v>38</v>
      </c>
      <c r="F9" s="46">
        <v>65</v>
      </c>
      <c r="H9" s="53" t="s">
        <v>223</v>
      </c>
      <c r="I9" s="53" t="s">
        <v>224</v>
      </c>
      <c r="J9" s="53" t="s">
        <v>242</v>
      </c>
    </row>
    <row r="10" spans="2:10" x14ac:dyDescent="0.2">
      <c r="B10" s="43" t="s">
        <v>238</v>
      </c>
      <c r="C10" s="43" t="s">
        <v>228</v>
      </c>
      <c r="D10" s="43" t="s">
        <v>229</v>
      </c>
      <c r="E10" s="46">
        <v>34</v>
      </c>
      <c r="F10" s="46">
        <v>90</v>
      </c>
      <c r="H10" s="52" t="s">
        <v>228</v>
      </c>
      <c r="I10" s="52" t="s">
        <v>235</v>
      </c>
      <c r="J10" s="52">
        <f>SUMIFS(SUMIF!F4:F12, country, SUMIF!H10, championLeague, SUMIF!I10)</f>
        <v>27</v>
      </c>
    </row>
    <row r="11" spans="2:10" x14ac:dyDescent="0.2">
      <c r="B11" s="43" t="s">
        <v>239</v>
      </c>
      <c r="C11" s="43" t="s">
        <v>233</v>
      </c>
      <c r="D11" s="43" t="s">
        <v>235</v>
      </c>
      <c r="E11" s="46">
        <v>38</v>
      </c>
      <c r="F11" s="46">
        <v>84</v>
      </c>
    </row>
    <row r="12" spans="2:10" x14ac:dyDescent="0.2">
      <c r="B12" s="43" t="s">
        <v>240</v>
      </c>
      <c r="C12" s="43" t="s">
        <v>233</v>
      </c>
      <c r="D12" s="43" t="s">
        <v>229</v>
      </c>
      <c r="E12" s="46">
        <v>38</v>
      </c>
      <c r="F12" s="46">
        <v>79</v>
      </c>
    </row>
    <row r="13" spans="2:10" ht="12.6" thickBot="1" x14ac:dyDescent="0.3">
      <c r="B13" s="47" t="s">
        <v>50</v>
      </c>
      <c r="C13" s="48"/>
      <c r="D13" s="48"/>
      <c r="E13" s="49">
        <f>SUM(E4:E12)</f>
        <v>330</v>
      </c>
      <c r="F13" s="49">
        <f>SUM(F4:F12)</f>
        <v>593</v>
      </c>
    </row>
    <row r="18" spans="3:6" x14ac:dyDescent="0.2">
      <c r="C18" s="50"/>
      <c r="D18" s="50"/>
      <c r="E18" s="50"/>
      <c r="F18" s="50"/>
    </row>
    <row r="19" spans="3:6" x14ac:dyDescent="0.2">
      <c r="C19" s="50"/>
      <c r="D19" s="50"/>
      <c r="E19" s="51"/>
      <c r="F19" s="50"/>
    </row>
    <row r="20" spans="3:6" x14ac:dyDescent="0.2">
      <c r="C20" s="50"/>
      <c r="D20" s="50"/>
      <c r="E20" s="50"/>
      <c r="F20" s="50"/>
    </row>
  </sheetData>
  <dataValidations count="3">
    <dataValidation type="list" allowBlank="1" showInputMessage="1" showErrorMessage="1" sqref="H5" xr:uid="{F9E65DB6-194A-4ECF-A88D-3682199CC413}">
      <formula1>$C$4:$C$12</formula1>
    </dataValidation>
    <dataValidation type="list" allowBlank="1" showInputMessage="1" showErrorMessage="1" sqref="H10" xr:uid="{970C9E37-B04B-4234-AE35-4B7E0F6B5004}">
      <formula1>country</formula1>
    </dataValidation>
    <dataValidation type="list" allowBlank="1" showInputMessage="1" showErrorMessage="1" sqref="I10" xr:uid="{60F0352E-B5FC-4EB0-8DD0-32918C6A26EE}">
      <formula1>championLeague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C679-D611-40DC-BC40-BB6E926FA7ED}">
  <dimension ref="B1:G16"/>
  <sheetViews>
    <sheetView zoomScale="97" zoomScaleNormal="160" workbookViewId="0">
      <selection activeCell="F14" sqref="F14"/>
    </sheetView>
  </sheetViews>
  <sheetFormatPr defaultColWidth="9.109375" defaultRowHeight="11.4" x14ac:dyDescent="0.2"/>
  <cols>
    <col min="1" max="1" width="2" style="43" customWidth="1"/>
    <col min="2" max="2" width="15.88671875" style="43" bestFit="1" customWidth="1"/>
    <col min="3" max="3" width="9.109375" style="43"/>
    <col min="4" max="4" width="16.109375" style="43" bestFit="1" customWidth="1"/>
    <col min="5" max="5" width="14.5546875" style="43" bestFit="1" customWidth="1"/>
    <col min="6" max="6" width="12.33203125" style="43" bestFit="1" customWidth="1"/>
    <col min="7" max="16384" width="9.109375" style="43"/>
  </cols>
  <sheetData>
    <row r="1" spans="2:7" ht="15.6" x14ac:dyDescent="0.3">
      <c r="B1" s="42" t="s">
        <v>282</v>
      </c>
    </row>
    <row r="3" spans="2:7" ht="12" x14ac:dyDescent="0.25">
      <c r="B3" s="58" t="s">
        <v>222</v>
      </c>
      <c r="C3" s="58" t="s">
        <v>223</v>
      </c>
      <c r="D3" s="58" t="s">
        <v>224</v>
      </c>
      <c r="E3" s="58" t="s">
        <v>225</v>
      </c>
      <c r="F3" s="87" t="s">
        <v>226</v>
      </c>
      <c r="G3" s="90"/>
    </row>
    <row r="4" spans="2:7" x14ac:dyDescent="0.2">
      <c r="B4" s="52" t="s">
        <v>227</v>
      </c>
      <c r="C4" s="52" t="s">
        <v>228</v>
      </c>
      <c r="D4" s="52" t="s">
        <v>229</v>
      </c>
      <c r="E4" s="59">
        <v>34</v>
      </c>
      <c r="F4" s="88">
        <v>71</v>
      </c>
      <c r="G4" s="91"/>
    </row>
    <row r="5" spans="2:7" x14ac:dyDescent="0.2">
      <c r="B5" s="52" t="s">
        <v>230</v>
      </c>
      <c r="C5" s="52" t="s">
        <v>231</v>
      </c>
      <c r="D5" s="52" t="s">
        <v>229</v>
      </c>
      <c r="E5" s="59">
        <v>38</v>
      </c>
      <c r="F5" s="88">
        <v>57</v>
      </c>
      <c r="G5" s="91"/>
    </row>
    <row r="6" spans="2:7" x14ac:dyDescent="0.2">
      <c r="B6" s="52" t="s">
        <v>232</v>
      </c>
      <c r="C6" s="52" t="s">
        <v>233</v>
      </c>
      <c r="D6" s="52" t="s">
        <v>229</v>
      </c>
      <c r="E6" s="59">
        <v>38</v>
      </c>
      <c r="F6" s="88">
        <v>64</v>
      </c>
      <c r="G6" s="91"/>
    </row>
    <row r="7" spans="2:7" x14ac:dyDescent="0.2">
      <c r="B7" s="52" t="s">
        <v>234</v>
      </c>
      <c r="C7" s="52" t="s">
        <v>228</v>
      </c>
      <c r="D7" s="52" t="s">
        <v>235</v>
      </c>
      <c r="E7" s="59">
        <v>34</v>
      </c>
      <c r="F7" s="88" t="s">
        <v>249</v>
      </c>
      <c r="G7" s="91"/>
    </row>
    <row r="8" spans="2:7" x14ac:dyDescent="0.2">
      <c r="B8" s="52" t="s">
        <v>236</v>
      </c>
      <c r="C8" s="52" t="s">
        <v>231</v>
      </c>
      <c r="D8" s="52" t="s">
        <v>235</v>
      </c>
      <c r="E8" s="59">
        <v>38</v>
      </c>
      <c r="F8" s="88">
        <v>56</v>
      </c>
      <c r="G8" s="91"/>
    </row>
    <row r="9" spans="2:7" x14ac:dyDescent="0.2">
      <c r="B9" s="52" t="s">
        <v>237</v>
      </c>
      <c r="C9" s="52" t="s">
        <v>231</v>
      </c>
      <c r="D9" s="52" t="s">
        <v>235</v>
      </c>
      <c r="E9" s="59">
        <v>38</v>
      </c>
      <c r="F9" s="88">
        <v>65</v>
      </c>
      <c r="G9" s="91"/>
    </row>
    <row r="10" spans="2:7" x14ac:dyDescent="0.2">
      <c r="B10" s="52" t="s">
        <v>238</v>
      </c>
      <c r="C10" s="52" t="s">
        <v>228</v>
      </c>
      <c r="D10" s="52" t="s">
        <v>229</v>
      </c>
      <c r="E10" s="59">
        <v>34</v>
      </c>
      <c r="F10" s="88">
        <v>90</v>
      </c>
      <c r="G10" s="91"/>
    </row>
    <row r="11" spans="2:7" x14ac:dyDescent="0.2">
      <c r="B11" s="52" t="s">
        <v>239</v>
      </c>
      <c r="C11" s="52" t="s">
        <v>233</v>
      </c>
      <c r="D11" s="52" t="s">
        <v>235</v>
      </c>
      <c r="E11" s="59">
        <v>38</v>
      </c>
      <c r="F11" s="88">
        <v>84</v>
      </c>
      <c r="G11" s="91"/>
    </row>
    <row r="12" spans="2:7" x14ac:dyDescent="0.2">
      <c r="B12" s="52" t="s">
        <v>240</v>
      </c>
      <c r="C12" s="52" t="s">
        <v>233</v>
      </c>
      <c r="D12" s="52" t="s">
        <v>229</v>
      </c>
      <c r="E12" s="59">
        <v>38</v>
      </c>
      <c r="F12" s="88">
        <v>79</v>
      </c>
      <c r="G12" s="92"/>
    </row>
    <row r="13" spans="2:7" ht="12" x14ac:dyDescent="0.25">
      <c r="B13" s="100" t="s">
        <v>250</v>
      </c>
      <c r="C13" s="100"/>
      <c r="D13" s="100"/>
      <c r="E13" s="60">
        <f>AVERAGEIF(D4:D12, "yes", E4:E12)</f>
        <v>36.4</v>
      </c>
      <c r="F13" s="60">
        <f>AVERAGEIFS(F4:F12, D4:D12,D4, F4:F12, "&gt;=60")</f>
        <v>76</v>
      </c>
      <c r="G13" s="89" t="s">
        <v>309</v>
      </c>
    </row>
    <row r="15" spans="2:7" x14ac:dyDescent="0.2">
      <c r="E15" s="57"/>
      <c r="F15" s="55"/>
    </row>
    <row r="16" spans="2:7" x14ac:dyDescent="0.2">
      <c r="E16" s="57"/>
      <c r="F16" s="54"/>
    </row>
  </sheetData>
  <mergeCells count="1">
    <mergeCell ref="B13:D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6B07-7F6D-4882-94D0-4533AB767BAE}">
  <dimension ref="A1:N15"/>
  <sheetViews>
    <sheetView topLeftCell="B1" zoomScale="130" zoomScaleNormal="130" workbookViewId="0">
      <selection activeCell="D14" sqref="D14"/>
    </sheetView>
  </sheetViews>
  <sheetFormatPr defaultRowHeight="14.4" x14ac:dyDescent="0.3"/>
  <cols>
    <col min="2" max="2" width="21.109375" bestFit="1" customWidth="1"/>
    <col min="5" max="5" width="12" bestFit="1" customWidth="1"/>
    <col min="9" max="10" width="9.88671875" bestFit="1" customWidth="1"/>
    <col min="11" max="11" width="12.44140625" bestFit="1" customWidth="1"/>
    <col min="12" max="13" width="9.88671875" bestFit="1" customWidth="1"/>
    <col min="14" max="14" width="9.5546875" bestFit="1" customWidth="1"/>
  </cols>
  <sheetData>
    <row r="1" spans="1:14" x14ac:dyDescent="0.3">
      <c r="A1" s="94" t="s">
        <v>165</v>
      </c>
      <c r="B1" s="94" t="s">
        <v>166</v>
      </c>
      <c r="C1" s="94" t="s">
        <v>167</v>
      </c>
      <c r="D1" s="94" t="s">
        <v>168</v>
      </c>
      <c r="E1" s="94" t="s">
        <v>169</v>
      </c>
      <c r="L1" s="27"/>
    </row>
    <row r="2" spans="1:14" x14ac:dyDescent="0.3">
      <c r="A2" t="s">
        <v>75</v>
      </c>
      <c r="B2" t="s">
        <v>170</v>
      </c>
      <c r="C2">
        <v>80</v>
      </c>
      <c r="D2" t="str">
        <f>VLOOKUP(C2,H5:I11,2,TRUE)</f>
        <v>A</v>
      </c>
      <c r="E2" s="28"/>
    </row>
    <row r="3" spans="1:14" x14ac:dyDescent="0.3">
      <c r="A3" t="s">
        <v>171</v>
      </c>
      <c r="B3" t="s">
        <v>172</v>
      </c>
      <c r="C3">
        <v>68</v>
      </c>
      <c r="D3" t="str">
        <f t="shared" ref="D3:D15" si="0">VLOOKUP(C3,H6:I12,2,TRUE)</f>
        <v>C+</v>
      </c>
      <c r="E3" s="28"/>
    </row>
    <row r="4" spans="1:14" x14ac:dyDescent="0.3">
      <c r="A4" t="s">
        <v>173</v>
      </c>
      <c r="B4" t="s">
        <v>174</v>
      </c>
      <c r="C4">
        <v>62</v>
      </c>
      <c r="D4" t="e">
        <f t="shared" si="0"/>
        <v>#N/A</v>
      </c>
      <c r="E4" s="28"/>
    </row>
    <row r="5" spans="1:14" x14ac:dyDescent="0.3">
      <c r="A5" t="s">
        <v>175</v>
      </c>
      <c r="B5" t="s">
        <v>172</v>
      </c>
      <c r="C5">
        <v>65</v>
      </c>
      <c r="D5" t="e">
        <f t="shared" si="0"/>
        <v>#N/A</v>
      </c>
      <c r="E5" s="28"/>
      <c r="H5">
        <v>0</v>
      </c>
      <c r="I5" t="s">
        <v>176</v>
      </c>
    </row>
    <row r="6" spans="1:14" x14ac:dyDescent="0.3">
      <c r="A6" t="s">
        <v>114</v>
      </c>
      <c r="B6" t="s">
        <v>177</v>
      </c>
      <c r="C6">
        <v>71</v>
      </c>
      <c r="D6" t="e">
        <f t="shared" si="0"/>
        <v>#N/A</v>
      </c>
      <c r="E6" s="28"/>
      <c r="H6">
        <v>60</v>
      </c>
      <c r="I6" t="s">
        <v>178</v>
      </c>
    </row>
    <row r="7" spans="1:14" x14ac:dyDescent="0.3">
      <c r="A7" t="s">
        <v>179</v>
      </c>
      <c r="B7" t="s">
        <v>180</v>
      </c>
      <c r="C7">
        <v>89</v>
      </c>
      <c r="D7" t="str">
        <f t="shared" si="0"/>
        <v>A+</v>
      </c>
      <c r="E7" s="28"/>
      <c r="H7">
        <v>65</v>
      </c>
      <c r="I7" t="s">
        <v>181</v>
      </c>
    </row>
    <row r="8" spans="1:14" x14ac:dyDescent="0.3">
      <c r="A8" t="s">
        <v>182</v>
      </c>
      <c r="B8" t="s">
        <v>170</v>
      </c>
      <c r="C8">
        <v>52</v>
      </c>
      <c r="D8" t="e">
        <f t="shared" si="0"/>
        <v>#N/A</v>
      </c>
      <c r="E8" s="28"/>
      <c r="H8">
        <v>70</v>
      </c>
      <c r="I8" t="s">
        <v>183</v>
      </c>
    </row>
    <row r="9" spans="1:14" x14ac:dyDescent="0.3">
      <c r="A9" t="s">
        <v>184</v>
      </c>
      <c r="B9" t="s">
        <v>185</v>
      </c>
      <c r="C9">
        <v>66</v>
      </c>
      <c r="D9" t="e">
        <f t="shared" si="0"/>
        <v>#N/A</v>
      </c>
      <c r="E9" s="28"/>
      <c r="H9">
        <v>75</v>
      </c>
      <c r="I9" t="s">
        <v>186</v>
      </c>
    </row>
    <row r="10" spans="1:14" x14ac:dyDescent="0.3">
      <c r="A10" t="s">
        <v>187</v>
      </c>
      <c r="B10" t="s">
        <v>174</v>
      </c>
      <c r="C10">
        <v>85</v>
      </c>
      <c r="D10" t="e">
        <f t="shared" si="0"/>
        <v>#N/A</v>
      </c>
      <c r="E10" s="28"/>
      <c r="H10">
        <v>80</v>
      </c>
      <c r="I10" t="s">
        <v>188</v>
      </c>
    </row>
    <row r="11" spans="1:14" x14ac:dyDescent="0.3">
      <c r="A11" t="s">
        <v>105</v>
      </c>
      <c r="B11" t="s">
        <v>177</v>
      </c>
      <c r="C11">
        <v>50</v>
      </c>
      <c r="D11" t="e">
        <f t="shared" si="0"/>
        <v>#N/A</v>
      </c>
      <c r="E11" s="28"/>
      <c r="H11">
        <v>85</v>
      </c>
      <c r="I11" t="s">
        <v>189</v>
      </c>
    </row>
    <row r="12" spans="1:14" x14ac:dyDescent="0.3">
      <c r="A12" t="s">
        <v>161</v>
      </c>
      <c r="B12" t="s">
        <v>172</v>
      </c>
      <c r="C12">
        <v>63</v>
      </c>
      <c r="D12" t="e">
        <f t="shared" si="0"/>
        <v>#N/A</v>
      </c>
      <c r="E12" s="28"/>
    </row>
    <row r="13" spans="1:14" x14ac:dyDescent="0.3">
      <c r="A13" t="s">
        <v>190</v>
      </c>
      <c r="B13" t="s">
        <v>185</v>
      </c>
      <c r="C13">
        <v>76</v>
      </c>
      <c r="D13" t="e">
        <f>VLOOKUP(C13,H16:I22,2,TRUE)</f>
        <v>#N/A</v>
      </c>
      <c r="E13" s="28"/>
      <c r="G13" t="s">
        <v>176</v>
      </c>
      <c r="H13" t="s">
        <v>178</v>
      </c>
      <c r="I13" t="s">
        <v>181</v>
      </c>
      <c r="J13" t="s">
        <v>183</v>
      </c>
      <c r="K13" t="s">
        <v>186</v>
      </c>
      <c r="L13" t="s">
        <v>188</v>
      </c>
      <c r="M13" t="s">
        <v>189</v>
      </c>
    </row>
    <row r="14" spans="1:14" x14ac:dyDescent="0.3">
      <c r="A14" t="s">
        <v>71</v>
      </c>
      <c r="B14" t="s">
        <v>174</v>
      </c>
      <c r="C14">
        <v>90</v>
      </c>
      <c r="D14" t="e">
        <f t="shared" si="0"/>
        <v>#N/A</v>
      </c>
      <c r="E14" s="28"/>
      <c r="F14" s="93"/>
      <c r="G14" s="95" t="s">
        <v>327</v>
      </c>
      <c r="H14" s="95" t="s">
        <v>328</v>
      </c>
      <c r="I14" s="95" t="s">
        <v>329</v>
      </c>
      <c r="J14" s="95" t="s">
        <v>330</v>
      </c>
      <c r="K14" s="95" t="s">
        <v>331</v>
      </c>
      <c r="L14" s="95" t="s">
        <v>332</v>
      </c>
      <c r="M14" s="95" t="s">
        <v>333</v>
      </c>
      <c r="N14" s="29"/>
    </row>
    <row r="15" spans="1:14" x14ac:dyDescent="0.3">
      <c r="A15" t="s">
        <v>191</v>
      </c>
      <c r="B15" t="s">
        <v>185</v>
      </c>
      <c r="C15">
        <v>78</v>
      </c>
      <c r="D15" t="e">
        <f t="shared" si="0"/>
        <v>#N/A</v>
      </c>
      <c r="E15" s="28"/>
    </row>
  </sheetData>
  <phoneticPr fontId="26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BCE0-F2A9-4C68-84C1-C92CA17E4D83}">
  <dimension ref="A1:J16"/>
  <sheetViews>
    <sheetView showGridLines="0" topLeftCell="F1" zoomScale="85" zoomScaleNormal="170" workbookViewId="0">
      <selection activeCell="M10" sqref="M10"/>
    </sheetView>
  </sheetViews>
  <sheetFormatPr defaultRowHeight="14.4" x14ac:dyDescent="0.3"/>
  <cols>
    <col min="1" max="1" width="12.109375" bestFit="1" customWidth="1"/>
    <col min="2" max="2" width="10.109375" bestFit="1" customWidth="1"/>
    <col min="3" max="3" width="10.5546875" bestFit="1" customWidth="1"/>
    <col min="6" max="6" width="13" customWidth="1"/>
    <col min="7" max="7" width="20.33203125" customWidth="1"/>
    <col min="8" max="9" width="14" customWidth="1"/>
  </cols>
  <sheetData>
    <row r="1" spans="1:10" ht="21.6" thickBot="1" x14ac:dyDescent="0.45">
      <c r="A1" s="61" t="s">
        <v>251</v>
      </c>
      <c r="B1" s="62"/>
      <c r="C1" s="62"/>
      <c r="F1" s="63" t="s">
        <v>252</v>
      </c>
      <c r="G1" s="64"/>
      <c r="H1" s="64"/>
      <c r="I1" s="64"/>
    </row>
    <row r="3" spans="1:10" x14ac:dyDescent="0.3">
      <c r="A3" s="65" t="s">
        <v>253</v>
      </c>
      <c r="B3" s="66" t="s">
        <v>42</v>
      </c>
      <c r="C3" s="67" t="s">
        <v>43</v>
      </c>
      <c r="F3" s="68" t="s">
        <v>253</v>
      </c>
      <c r="G3" s="69" t="s">
        <v>254</v>
      </c>
      <c r="H3" s="69" t="s">
        <v>43</v>
      </c>
      <c r="I3" s="70" t="s">
        <v>42</v>
      </c>
      <c r="J3" s="85" t="s">
        <v>310</v>
      </c>
    </row>
    <row r="4" spans="1:10" x14ac:dyDescent="0.3">
      <c r="A4">
        <v>110608</v>
      </c>
      <c r="B4" t="s">
        <v>255</v>
      </c>
      <c r="C4" t="s">
        <v>98</v>
      </c>
      <c r="F4">
        <v>990678</v>
      </c>
      <c r="G4" s="86">
        <v>84289</v>
      </c>
      <c r="H4" s="72"/>
      <c r="I4" s="72"/>
    </row>
    <row r="5" spans="1:10" x14ac:dyDescent="0.3">
      <c r="A5">
        <v>253072</v>
      </c>
      <c r="B5" t="s">
        <v>256</v>
      </c>
      <c r="C5" t="s">
        <v>257</v>
      </c>
      <c r="F5">
        <v>830385</v>
      </c>
      <c r="G5" s="86">
        <v>137670</v>
      </c>
      <c r="H5" s="72"/>
      <c r="I5" s="72"/>
    </row>
    <row r="6" spans="1:10" x14ac:dyDescent="0.3">
      <c r="A6">
        <v>352711</v>
      </c>
      <c r="B6" t="s">
        <v>105</v>
      </c>
      <c r="C6" t="s">
        <v>98</v>
      </c>
      <c r="F6">
        <v>795574</v>
      </c>
      <c r="G6" s="86">
        <v>190024</v>
      </c>
      <c r="H6" s="72"/>
      <c r="I6" s="72"/>
    </row>
    <row r="7" spans="1:10" x14ac:dyDescent="0.3">
      <c r="A7">
        <v>391006</v>
      </c>
      <c r="B7" t="s">
        <v>258</v>
      </c>
      <c r="C7" t="s">
        <v>136</v>
      </c>
      <c r="F7">
        <v>580622</v>
      </c>
      <c r="G7" s="86">
        <v>122604</v>
      </c>
      <c r="H7" s="72"/>
      <c r="I7" s="72"/>
    </row>
    <row r="8" spans="1:10" x14ac:dyDescent="0.3">
      <c r="A8">
        <v>392128</v>
      </c>
      <c r="B8" t="s">
        <v>259</v>
      </c>
      <c r="C8" t="s">
        <v>260</v>
      </c>
      <c r="F8">
        <v>549457</v>
      </c>
      <c r="G8" s="86">
        <v>111709</v>
      </c>
      <c r="H8" s="72"/>
      <c r="I8" s="72"/>
    </row>
    <row r="9" spans="1:10" x14ac:dyDescent="0.3">
      <c r="A9">
        <v>549457</v>
      </c>
      <c r="B9" t="s">
        <v>261</v>
      </c>
      <c r="C9" t="s">
        <v>98</v>
      </c>
      <c r="F9">
        <v>392128</v>
      </c>
      <c r="G9" s="86">
        <v>85931</v>
      </c>
      <c r="H9" s="72"/>
      <c r="I9" s="72"/>
    </row>
    <row r="10" spans="1:10" x14ac:dyDescent="0.3">
      <c r="A10">
        <v>580622</v>
      </c>
      <c r="B10" t="s">
        <v>262</v>
      </c>
      <c r="C10" t="s">
        <v>263</v>
      </c>
      <c r="F10">
        <v>391006</v>
      </c>
      <c r="G10" s="86">
        <v>168114</v>
      </c>
      <c r="H10" s="72"/>
      <c r="I10" s="72"/>
    </row>
    <row r="11" spans="1:10" x14ac:dyDescent="0.3">
      <c r="A11">
        <v>602693</v>
      </c>
      <c r="B11" t="s">
        <v>264</v>
      </c>
      <c r="C11" t="s">
        <v>265</v>
      </c>
      <c r="F11">
        <v>352711</v>
      </c>
      <c r="G11" s="86">
        <v>89627</v>
      </c>
      <c r="H11" s="72"/>
      <c r="I11" s="72"/>
    </row>
    <row r="12" spans="1:10" x14ac:dyDescent="0.3">
      <c r="A12">
        <v>611810</v>
      </c>
      <c r="B12" t="s">
        <v>266</v>
      </c>
      <c r="C12" t="s">
        <v>267</v>
      </c>
      <c r="F12">
        <v>253072</v>
      </c>
      <c r="G12" s="86">
        <v>149946</v>
      </c>
      <c r="H12" s="72"/>
      <c r="I12" s="72"/>
    </row>
    <row r="13" spans="1:10" x14ac:dyDescent="0.3">
      <c r="A13">
        <v>612235</v>
      </c>
      <c r="B13" t="s">
        <v>268</v>
      </c>
      <c r="C13" t="s">
        <v>265</v>
      </c>
      <c r="F13">
        <v>612235</v>
      </c>
      <c r="G13" s="86">
        <v>145893</v>
      </c>
      <c r="H13" s="72"/>
      <c r="I13" s="72"/>
    </row>
    <row r="14" spans="1:10" x14ac:dyDescent="0.3">
      <c r="A14">
        <v>795574</v>
      </c>
      <c r="B14" t="s">
        <v>79</v>
      </c>
      <c r="C14" t="s">
        <v>269</v>
      </c>
      <c r="F14">
        <v>611810</v>
      </c>
      <c r="G14" s="86">
        <v>64757</v>
      </c>
      <c r="H14" s="72"/>
      <c r="I14" s="72"/>
    </row>
    <row r="15" spans="1:10" x14ac:dyDescent="0.3">
      <c r="A15">
        <v>830385</v>
      </c>
      <c r="B15" t="s">
        <v>270</v>
      </c>
      <c r="C15" t="s">
        <v>271</v>
      </c>
      <c r="F15">
        <v>602693</v>
      </c>
      <c r="G15" s="86">
        <v>71478</v>
      </c>
      <c r="H15" s="72"/>
      <c r="I15" s="72"/>
    </row>
    <row r="16" spans="1:10" x14ac:dyDescent="0.3">
      <c r="A16">
        <v>990678</v>
      </c>
      <c r="B16" t="s">
        <v>272</v>
      </c>
      <c r="C16" t="s">
        <v>273</v>
      </c>
      <c r="F16">
        <v>110608</v>
      </c>
      <c r="G16" s="86">
        <v>131505</v>
      </c>
      <c r="H16" s="72"/>
      <c r="I16" s="72"/>
    </row>
  </sheetData>
  <conditionalFormatting sqref="J4:J16">
    <cfRule type="containsText" dxfId="0" priority="10" operator="containsText" text="Yes">
      <formula>NOT(ISERROR(SEARCH("Yes",J4)))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8E00-383F-46F6-AEF4-015136DDE832}">
  <dimension ref="A1:G16"/>
  <sheetViews>
    <sheetView showGridLines="0" topLeftCell="B1" zoomScale="160" zoomScaleNormal="160" workbookViewId="0">
      <selection activeCell="E18" sqref="E18"/>
    </sheetView>
  </sheetViews>
  <sheetFormatPr defaultRowHeight="14.4" x14ac:dyDescent="0.3"/>
  <cols>
    <col min="1" max="1" width="12.109375" bestFit="1" customWidth="1"/>
    <col min="2" max="2" width="14.44140625" customWidth="1"/>
    <col min="5" max="5" width="13" customWidth="1"/>
    <col min="6" max="6" width="10.44140625" customWidth="1"/>
    <col min="7" max="7" width="14" customWidth="1"/>
  </cols>
  <sheetData>
    <row r="1" spans="1:7" ht="21.6" thickBot="1" x14ac:dyDescent="0.45">
      <c r="A1" s="61" t="s">
        <v>274</v>
      </c>
      <c r="B1" s="62"/>
      <c r="E1" s="63" t="s">
        <v>252</v>
      </c>
      <c r="F1" s="64"/>
      <c r="G1" s="64"/>
    </row>
    <row r="3" spans="1:7" x14ac:dyDescent="0.3">
      <c r="A3" s="65" t="s">
        <v>275</v>
      </c>
      <c r="B3" s="66" t="s">
        <v>276</v>
      </c>
      <c r="E3" s="68" t="s">
        <v>253</v>
      </c>
      <c r="F3" s="69" t="s">
        <v>254</v>
      </c>
      <c r="G3" s="69" t="s">
        <v>276</v>
      </c>
    </row>
    <row r="4" spans="1:7" x14ac:dyDescent="0.3">
      <c r="A4" s="71">
        <v>25000</v>
      </c>
      <c r="B4" t="s">
        <v>277</v>
      </c>
      <c r="E4">
        <v>990678</v>
      </c>
      <c r="F4" s="71">
        <v>84289</v>
      </c>
      <c r="G4" s="72"/>
    </row>
    <row r="5" spans="1:7" x14ac:dyDescent="0.3">
      <c r="A5" s="71">
        <v>50000</v>
      </c>
      <c r="B5" t="s">
        <v>278</v>
      </c>
      <c r="E5">
        <v>830385</v>
      </c>
      <c r="F5" s="71">
        <v>137670</v>
      </c>
      <c r="G5" s="72"/>
    </row>
    <row r="6" spans="1:7" x14ac:dyDescent="0.3">
      <c r="A6" s="71">
        <v>75000</v>
      </c>
      <c r="B6" t="s">
        <v>279</v>
      </c>
      <c r="E6">
        <v>795574</v>
      </c>
      <c r="F6" s="71">
        <v>190024</v>
      </c>
      <c r="G6" s="72"/>
    </row>
    <row r="7" spans="1:7" x14ac:dyDescent="0.3">
      <c r="A7" s="71">
        <v>100000</v>
      </c>
      <c r="B7" t="s">
        <v>280</v>
      </c>
      <c r="E7">
        <v>580622</v>
      </c>
      <c r="F7" s="71">
        <v>122604</v>
      </c>
      <c r="G7" s="72"/>
    </row>
    <row r="8" spans="1:7" x14ac:dyDescent="0.3">
      <c r="A8" s="71">
        <v>150000</v>
      </c>
      <c r="B8" t="s">
        <v>281</v>
      </c>
      <c r="E8">
        <v>549457</v>
      </c>
      <c r="F8" s="71">
        <v>111709</v>
      </c>
      <c r="G8" s="72"/>
    </row>
    <row r="9" spans="1:7" x14ac:dyDescent="0.3">
      <c r="E9">
        <v>392128</v>
      </c>
      <c r="F9" s="71">
        <v>85931</v>
      </c>
      <c r="G9" s="72"/>
    </row>
    <row r="10" spans="1:7" x14ac:dyDescent="0.3">
      <c r="E10">
        <v>391006</v>
      </c>
      <c r="F10" s="71">
        <v>168114</v>
      </c>
      <c r="G10" s="72"/>
    </row>
    <row r="11" spans="1:7" x14ac:dyDescent="0.3">
      <c r="E11">
        <v>352711</v>
      </c>
      <c r="F11" s="71">
        <v>89627</v>
      </c>
      <c r="G11" s="72"/>
    </row>
    <row r="12" spans="1:7" x14ac:dyDescent="0.3">
      <c r="E12">
        <v>253072</v>
      </c>
      <c r="F12" s="71">
        <v>149946</v>
      </c>
      <c r="G12" s="72"/>
    </row>
    <row r="13" spans="1:7" x14ac:dyDescent="0.3">
      <c r="E13">
        <v>612235</v>
      </c>
      <c r="F13" s="71">
        <v>145893</v>
      </c>
      <c r="G13" s="72"/>
    </row>
    <row r="14" spans="1:7" x14ac:dyDescent="0.3">
      <c r="E14">
        <v>611810</v>
      </c>
      <c r="F14" s="71">
        <v>64757</v>
      </c>
      <c r="G14" s="72"/>
    </row>
    <row r="15" spans="1:7" x14ac:dyDescent="0.3">
      <c r="E15">
        <v>602693</v>
      </c>
      <c r="F15" s="71">
        <v>71478</v>
      </c>
      <c r="G15" s="72"/>
    </row>
    <row r="16" spans="1:7" x14ac:dyDescent="0.3">
      <c r="E16">
        <v>110608</v>
      </c>
      <c r="F16" s="71">
        <v>131505</v>
      </c>
      <c r="G16" s="7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447C-2F31-42E8-9D0A-4452D3938914}">
  <dimension ref="A1:C29"/>
  <sheetViews>
    <sheetView zoomScale="76" zoomScaleNormal="115" workbookViewId="0">
      <selection activeCell="B30" sqref="B30"/>
    </sheetView>
  </sheetViews>
  <sheetFormatPr defaultRowHeight="14.4" x14ac:dyDescent="0.3"/>
  <cols>
    <col min="1" max="1" width="28.44140625" customWidth="1"/>
    <col min="2" max="2" width="13" customWidth="1"/>
    <col min="3" max="3" width="19.33203125" customWidth="1"/>
  </cols>
  <sheetData>
    <row r="1" spans="1:3" ht="21" x14ac:dyDescent="0.4">
      <c r="A1" s="30" t="s">
        <v>192</v>
      </c>
    </row>
    <row r="2" spans="1:3" ht="21" x14ac:dyDescent="0.4">
      <c r="A2" s="30" t="s">
        <v>193</v>
      </c>
    </row>
    <row r="4" spans="1:3" ht="15.6" x14ac:dyDescent="0.3">
      <c r="A4" s="31" t="s">
        <v>194</v>
      </c>
      <c r="B4" s="31" t="s">
        <v>195</v>
      </c>
      <c r="C4" s="31" t="s">
        <v>196</v>
      </c>
    </row>
    <row r="5" spans="1:3" x14ac:dyDescent="0.3">
      <c r="A5" t="s">
        <v>197</v>
      </c>
      <c r="B5" s="32"/>
      <c r="C5" s="33">
        <f ca="1">TODAY()</f>
        <v>46084</v>
      </c>
    </row>
    <row r="6" spans="1:3" x14ac:dyDescent="0.3">
      <c r="A6" t="s">
        <v>198</v>
      </c>
      <c r="B6" s="34"/>
      <c r="C6" s="96">
        <f ca="1">NOW()</f>
        <v>46084.519574305552</v>
      </c>
    </row>
    <row r="7" spans="1:3" x14ac:dyDescent="0.3">
      <c r="A7" t="s">
        <v>199</v>
      </c>
      <c r="B7" s="34">
        <v>44595</v>
      </c>
      <c r="C7" s="35">
        <f>DAY(B7)</f>
        <v>3</v>
      </c>
    </row>
    <row r="8" spans="1:3" x14ac:dyDescent="0.3">
      <c r="A8" t="s">
        <v>200</v>
      </c>
      <c r="B8" s="34">
        <v>44596</v>
      </c>
      <c r="C8" s="35">
        <f>MONTH(B8)</f>
        <v>2</v>
      </c>
    </row>
    <row r="9" spans="1:3" x14ac:dyDescent="0.3">
      <c r="A9" t="s">
        <v>201</v>
      </c>
      <c r="B9" s="34">
        <v>44597</v>
      </c>
      <c r="C9" s="35">
        <f>YEAR(B9)</f>
        <v>2022</v>
      </c>
    </row>
    <row r="10" spans="1:3" x14ac:dyDescent="0.3">
      <c r="A10" t="s">
        <v>195</v>
      </c>
      <c r="B10" s="32"/>
      <c r="C10" s="33">
        <f>DATE(C9, C8, C7)</f>
        <v>44595</v>
      </c>
    </row>
    <row r="12" spans="1:3" ht="15.6" x14ac:dyDescent="0.3">
      <c r="A12" s="31" t="s">
        <v>202</v>
      </c>
      <c r="B12" s="31" t="s">
        <v>195</v>
      </c>
      <c r="C12" s="31"/>
    </row>
    <row r="13" spans="1:3" x14ac:dyDescent="0.3">
      <c r="A13" t="s">
        <v>195</v>
      </c>
      <c r="B13" s="36">
        <f ca="1">TODAY()</f>
        <v>46084</v>
      </c>
      <c r="C13" s="37"/>
    </row>
    <row r="14" spans="1:3" x14ac:dyDescent="0.3">
      <c r="A14" t="s">
        <v>203</v>
      </c>
      <c r="B14" s="36">
        <f ca="1">B13+5</f>
        <v>46089</v>
      </c>
      <c r="C14" s="37">
        <v>5</v>
      </c>
    </row>
    <row r="15" spans="1:3" x14ac:dyDescent="0.3">
      <c r="A15" t="s">
        <v>204</v>
      </c>
      <c r="B15" s="36">
        <f ca="1">B13-5</f>
        <v>46079</v>
      </c>
      <c r="C15" s="37">
        <v>5</v>
      </c>
    </row>
    <row r="18" spans="1:3" ht="15.6" x14ac:dyDescent="0.3">
      <c r="A18" s="31" t="s">
        <v>205</v>
      </c>
      <c r="B18" s="31" t="s">
        <v>195</v>
      </c>
      <c r="C18" s="31"/>
    </row>
    <row r="19" spans="1:3" x14ac:dyDescent="0.3">
      <c r="A19" s="1" t="s">
        <v>206</v>
      </c>
      <c r="C19" s="37"/>
    </row>
    <row r="20" spans="1:3" x14ac:dyDescent="0.3">
      <c r="A20" t="s">
        <v>195</v>
      </c>
      <c r="B20" s="36">
        <f ca="1">TODAY()</f>
        <v>46084</v>
      </c>
      <c r="C20" s="37"/>
    </row>
    <row r="21" spans="1:3" x14ac:dyDescent="0.3">
      <c r="A21" t="s">
        <v>207</v>
      </c>
      <c r="B21" s="36">
        <f ca="1">EDATE(B20,10)</f>
        <v>46390</v>
      </c>
      <c r="C21" s="37">
        <v>10</v>
      </c>
    </row>
    <row r="22" spans="1:3" x14ac:dyDescent="0.3">
      <c r="A22" t="s">
        <v>208</v>
      </c>
      <c r="B22" s="36">
        <f ca="1">EDATE(B20,-10)</f>
        <v>45780</v>
      </c>
      <c r="C22" s="37">
        <v>-10</v>
      </c>
    </row>
    <row r="25" spans="1:3" ht="15.6" x14ac:dyDescent="0.3">
      <c r="A25" s="31" t="s">
        <v>209</v>
      </c>
      <c r="B25" s="31" t="s">
        <v>195</v>
      </c>
      <c r="C25" s="31"/>
    </row>
    <row r="26" spans="1:3" x14ac:dyDescent="0.3">
      <c r="A26" s="1" t="s">
        <v>206</v>
      </c>
    </row>
    <row r="27" spans="1:3" x14ac:dyDescent="0.3">
      <c r="A27" t="s">
        <v>195</v>
      </c>
      <c r="B27" s="36">
        <f ca="1">TODAY()</f>
        <v>46084</v>
      </c>
    </row>
    <row r="28" spans="1:3" x14ac:dyDescent="0.3">
      <c r="A28" t="s">
        <v>210</v>
      </c>
      <c r="B28" s="36">
        <f ca="1">EDATE(B27,120)</f>
        <v>49737</v>
      </c>
      <c r="C28">
        <v>10</v>
      </c>
    </row>
    <row r="29" spans="1:3" x14ac:dyDescent="0.3">
      <c r="A29" t="s">
        <v>211</v>
      </c>
      <c r="B29" s="36">
        <f ca="1">EDATE(B27,-120)</f>
        <v>42432</v>
      </c>
      <c r="C29">
        <v>-10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E46E-2517-462A-B977-1EE1E1477B38}">
  <dimension ref="A1:M27"/>
  <sheetViews>
    <sheetView tabSelected="1" zoomScale="74" zoomScaleNormal="120" workbookViewId="0">
      <selection activeCell="B10" sqref="B10"/>
    </sheetView>
  </sheetViews>
  <sheetFormatPr defaultRowHeight="14.4" x14ac:dyDescent="0.3"/>
  <cols>
    <col min="1" max="1" width="30" customWidth="1"/>
    <col min="2" max="2" width="13.5546875" customWidth="1"/>
    <col min="5" max="5" width="27.5546875" bestFit="1" customWidth="1"/>
    <col min="6" max="6" width="14.5546875" customWidth="1"/>
  </cols>
  <sheetData>
    <row r="1" spans="1:13" ht="21" x14ac:dyDescent="0.4">
      <c r="A1" s="30" t="s">
        <v>212</v>
      </c>
    </row>
    <row r="2" spans="1:13" ht="21" x14ac:dyDescent="0.4">
      <c r="A2" s="30" t="s">
        <v>213</v>
      </c>
    </row>
    <row r="3" spans="1:13" ht="21" x14ac:dyDescent="0.4">
      <c r="A3" s="30"/>
    </row>
    <row r="5" spans="1:13" ht="15.6" x14ac:dyDescent="0.3">
      <c r="A5" s="38" t="s">
        <v>214</v>
      </c>
      <c r="B5" s="36">
        <v>44927</v>
      </c>
      <c r="H5" s="93"/>
      <c r="I5" s="93"/>
      <c r="J5" s="93"/>
      <c r="K5" s="93"/>
      <c r="L5" s="93"/>
      <c r="M5" s="93"/>
    </row>
    <row r="6" spans="1:13" ht="15.6" x14ac:dyDescent="0.3">
      <c r="A6" s="38" t="s">
        <v>215</v>
      </c>
      <c r="B6" s="36">
        <v>45291</v>
      </c>
      <c r="E6" s="32" t="s">
        <v>216</v>
      </c>
      <c r="F6" s="32" t="s">
        <v>217</v>
      </c>
      <c r="G6" s="32" t="s">
        <v>313</v>
      </c>
      <c r="H6" s="93"/>
      <c r="I6" s="93"/>
      <c r="J6" s="93"/>
      <c r="K6" s="93"/>
      <c r="L6" s="93"/>
      <c r="M6" s="93"/>
    </row>
    <row r="7" spans="1:13" ht="15.6" x14ac:dyDescent="0.3">
      <c r="A7" s="38"/>
      <c r="E7" t="s">
        <v>311</v>
      </c>
      <c r="F7" s="36">
        <v>44927</v>
      </c>
      <c r="G7" t="str">
        <f>TEXT(Table3[[#This Row],[Dates]], "dddd")</f>
        <v>Sunday</v>
      </c>
      <c r="H7" s="93"/>
      <c r="I7" s="93"/>
      <c r="J7" s="93"/>
      <c r="K7" s="93"/>
      <c r="L7" s="93"/>
      <c r="M7" s="93"/>
    </row>
    <row r="8" spans="1:13" ht="15.6" x14ac:dyDescent="0.3">
      <c r="A8" s="38" t="s">
        <v>219</v>
      </c>
      <c r="B8">
        <f>NETWORKDAYS(B5,B6)</f>
        <v>260</v>
      </c>
      <c r="E8" s="39" t="s">
        <v>311</v>
      </c>
      <c r="F8" s="40">
        <v>44928</v>
      </c>
      <c r="G8" t="str">
        <f>TEXT(Table3[[#This Row],[Dates]], "dddd")</f>
        <v>Monday</v>
      </c>
      <c r="H8" s="93"/>
      <c r="I8" s="93"/>
      <c r="J8" s="93"/>
      <c r="K8" s="93"/>
      <c r="L8" s="93"/>
      <c r="M8" s="93"/>
    </row>
    <row r="9" spans="1:13" ht="15.6" x14ac:dyDescent="0.3">
      <c r="A9" s="38" t="s">
        <v>220</v>
      </c>
      <c r="B9">
        <f>NETWORKDAYS(B5,B6,Table3[Dates])</f>
        <v>246</v>
      </c>
      <c r="E9" t="s">
        <v>312</v>
      </c>
      <c r="F9" s="36">
        <v>44948</v>
      </c>
      <c r="G9" t="str">
        <f>TEXT(Table3[[#This Row],[Dates]], "dddd")</f>
        <v>Sunday</v>
      </c>
      <c r="H9" s="93"/>
      <c r="I9" s="93"/>
      <c r="J9" s="93"/>
      <c r="K9" s="93"/>
      <c r="L9" s="93"/>
      <c r="M9" s="93"/>
    </row>
    <row r="10" spans="1:13" ht="15.6" x14ac:dyDescent="0.3">
      <c r="A10" s="38" t="s">
        <v>221</v>
      </c>
      <c r="B10">
        <f>NETWORKDAYS.INTL(B5,B6,7,Table3[Dates])</f>
        <v>244</v>
      </c>
      <c r="E10" t="s">
        <v>312</v>
      </c>
      <c r="F10" s="36">
        <v>44949</v>
      </c>
      <c r="G10" t="str">
        <f>TEXT(Table3[[#This Row],[Dates]], "dddd")</f>
        <v>Monday</v>
      </c>
      <c r="H10" s="93"/>
      <c r="I10" s="93"/>
      <c r="J10" s="93"/>
      <c r="K10" s="93"/>
      <c r="L10" s="93"/>
      <c r="M10" s="93"/>
    </row>
    <row r="11" spans="1:13" x14ac:dyDescent="0.3">
      <c r="E11" t="s">
        <v>312</v>
      </c>
      <c r="F11" s="36">
        <v>44950</v>
      </c>
      <c r="G11" t="str">
        <f>TEXT(Table3[[#This Row],[Dates]], "dddd")</f>
        <v>Tuesday</v>
      </c>
      <c r="H11" s="93"/>
      <c r="I11" s="93"/>
      <c r="J11" s="93"/>
      <c r="K11" s="93"/>
      <c r="L11" s="93"/>
      <c r="M11" s="93"/>
    </row>
    <row r="12" spans="1:13" x14ac:dyDescent="0.3">
      <c r="E12" t="s">
        <v>314</v>
      </c>
      <c r="F12" s="36">
        <v>44963</v>
      </c>
      <c r="G12" t="str">
        <f>TEXT(Table3[[#This Row],[Dates]], "dddd")</f>
        <v>Monday</v>
      </c>
    </row>
    <row r="13" spans="1:13" x14ac:dyDescent="0.3">
      <c r="E13" t="s">
        <v>218</v>
      </c>
      <c r="F13" s="36">
        <v>45038</v>
      </c>
      <c r="G13" t="str">
        <f>TEXT(Table3[[#This Row],[Dates]], "dddd")</f>
        <v>Saturday</v>
      </c>
    </row>
    <row r="14" spans="1:13" x14ac:dyDescent="0.3">
      <c r="A14" s="36"/>
      <c r="E14" t="s">
        <v>218</v>
      </c>
      <c r="F14" s="36">
        <v>45039</v>
      </c>
      <c r="G14" t="str">
        <f>TEXT(Table3[[#This Row],[Dates]], "dddd")</f>
        <v>Sunday</v>
      </c>
    </row>
    <row r="15" spans="1:13" x14ac:dyDescent="0.3">
      <c r="A15" s="36"/>
      <c r="B15" s="41"/>
      <c r="E15" t="s">
        <v>218</v>
      </c>
      <c r="F15" s="36">
        <v>45040</v>
      </c>
      <c r="G15" t="str">
        <f>TEXT(Table3[[#This Row],[Dates]], "dddd")</f>
        <v>Monday</v>
      </c>
    </row>
    <row r="16" spans="1:13" x14ac:dyDescent="0.3">
      <c r="E16" t="s">
        <v>315</v>
      </c>
      <c r="F16" s="36">
        <v>45047</v>
      </c>
      <c r="G16" t="str">
        <f>TEXT(Table3[[#This Row],[Dates]], "dddd")</f>
        <v>Monday</v>
      </c>
    </row>
    <row r="17" spans="5:7" x14ac:dyDescent="0.3">
      <c r="E17" t="s">
        <v>316</v>
      </c>
      <c r="F17" s="36">
        <v>45050</v>
      </c>
      <c r="G17" t="str">
        <f>TEXT(Table3[[#This Row],[Dates]], "dddd")</f>
        <v>Thursday</v>
      </c>
    </row>
    <row r="18" spans="5:7" x14ac:dyDescent="0.3">
      <c r="E18" t="s">
        <v>317</v>
      </c>
      <c r="F18" s="36">
        <v>45106</v>
      </c>
      <c r="G18" t="str">
        <f>TEXT(Table3[[#This Row],[Dates]], "dddd")</f>
        <v>Thursday</v>
      </c>
    </row>
    <row r="19" spans="5:7" x14ac:dyDescent="0.3">
      <c r="E19" t="s">
        <v>318</v>
      </c>
      <c r="F19" s="36">
        <v>45114</v>
      </c>
      <c r="G19" t="str">
        <f>TEXT(Table3[[#This Row],[Dates]], "dddd")</f>
        <v>Friday</v>
      </c>
    </row>
    <row r="20" spans="5:7" x14ac:dyDescent="0.3">
      <c r="E20" t="s">
        <v>319</v>
      </c>
      <c r="F20" s="36">
        <v>45115</v>
      </c>
      <c r="G20" t="str">
        <f>TEXT(Table3[[#This Row],[Dates]], "dddd")</f>
        <v>Saturday</v>
      </c>
    </row>
    <row r="21" spans="5:7" x14ac:dyDescent="0.3">
      <c r="E21" t="s">
        <v>320</v>
      </c>
      <c r="F21" s="36">
        <v>45126</v>
      </c>
      <c r="G21" t="str">
        <f>TEXT(Table3[[#This Row],[Dates]], "dddd")</f>
        <v>Wednesday</v>
      </c>
    </row>
    <row r="22" spans="5:7" x14ac:dyDescent="0.3">
      <c r="E22" t="s">
        <v>321</v>
      </c>
      <c r="F22" s="36">
        <v>45169</v>
      </c>
      <c r="G22" t="str">
        <f>TEXT(Table3[[#This Row],[Dates]], "dddd")</f>
        <v>Thursday</v>
      </c>
    </row>
    <row r="23" spans="5:7" x14ac:dyDescent="0.3">
      <c r="E23" t="s">
        <v>322</v>
      </c>
      <c r="F23" s="36">
        <v>45185</v>
      </c>
      <c r="G23" t="str">
        <f>TEXT(Table3[[#This Row],[Dates]], "dddd")</f>
        <v>Saturday</v>
      </c>
    </row>
    <row r="24" spans="5:7" x14ac:dyDescent="0.3">
      <c r="E24" t="s">
        <v>323</v>
      </c>
      <c r="F24" s="36">
        <v>45197</v>
      </c>
      <c r="G24" t="str">
        <f>TEXT(Table3[[#This Row],[Dates]], "dddd")</f>
        <v>Thursday</v>
      </c>
    </row>
    <row r="25" spans="5:7" x14ac:dyDescent="0.3">
      <c r="E25" t="s">
        <v>324</v>
      </c>
      <c r="F25" s="36">
        <v>45242</v>
      </c>
      <c r="G25" t="str">
        <f>TEXT(Table3[[#This Row],[Dates]], "dddd")</f>
        <v>Sunday</v>
      </c>
    </row>
    <row r="26" spans="5:7" x14ac:dyDescent="0.3">
      <c r="E26" t="s">
        <v>324</v>
      </c>
      <c r="F26" s="36">
        <v>45243</v>
      </c>
      <c r="G26" t="str">
        <f>TEXT(Table3[[#This Row],[Dates]], "dddd")</f>
        <v>Monday</v>
      </c>
    </row>
    <row r="27" spans="5:7" x14ac:dyDescent="0.3">
      <c r="E27" t="s">
        <v>325</v>
      </c>
      <c r="F27" s="36">
        <v>45285</v>
      </c>
      <c r="G27" t="str">
        <f>TEXT(Table3[[#This Row],[Dates]], "dddd")</f>
        <v>Monday</v>
      </c>
    </row>
  </sheetData>
  <phoneticPr fontId="2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2021-2022</vt:lpstr>
      <vt:lpstr>NamedRange</vt:lpstr>
      <vt:lpstr>Absolute Reference</vt:lpstr>
      <vt:lpstr>CountifSumif</vt:lpstr>
      <vt:lpstr>COUNTIF</vt:lpstr>
      <vt:lpstr>SUMIF</vt:lpstr>
      <vt:lpstr>AVERAGE&amp;AVERAGEIF</vt:lpstr>
      <vt:lpstr>Hlookup-vlookup</vt:lpstr>
      <vt:lpstr>Exercise 1</vt:lpstr>
      <vt:lpstr>Exercise 2</vt:lpstr>
      <vt:lpstr>Date1</vt:lpstr>
      <vt:lpstr>Date 2</vt:lpstr>
      <vt:lpstr>championLeague</vt:lpstr>
      <vt:lpstr>country</vt:lpstr>
      <vt:lpstr>FirstName</vt:lpstr>
      <vt:lpstr>GradePoint</vt:lpstr>
      <vt:lpstr>LastName</vt:lpstr>
      <vt:lpstr>Manager</vt:lpstr>
      <vt:lpstr>Region</vt:lpstr>
      <vt:lpstr>team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2013-03-25T18:30:17Z</dcterms:created>
  <dcterms:modified xsi:type="dcterms:W3CDTF">2026-03-03T06:55:10Z</dcterms:modified>
</cp:coreProperties>
</file>